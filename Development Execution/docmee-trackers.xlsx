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Overview" sheetId="2" state="hidden" r:id="rId4"/>
    <sheet name="Risk Register" sheetId="3" state="hidden" r:id="rId5"/>
    <sheet name="Action Tracker" sheetId="4" state="hidden" r:id="rId6"/>
    <sheet name="Phase Gates" sheetId="5" state="hidden" r:id="rId7"/>
    <sheet name="Decisions Index" sheetId="6" state="hidden" r:id="rId8"/>
    <sheet name="Update Log" sheetId="7" state="hidden" r:id="rId9"/>
    <sheet name="Future Improvements" sheetId="8" state="hidden" r:id="rId10"/>
    <sheet name="Gaps" sheetId="9" state="hidden" r:id="rId11"/>
    <sheet name="Pros" sheetId="10" state="hidden" r:id="rId12"/>
    <sheet name="Cons" sheetId="11" state="hidden" r:id="rId13"/>
    <sheet name="Progress" sheetId="12" state="hidden" r:id="rId14"/>
    <sheet name="Security Audit" sheetId="13" state="hidden" r:id="rId15"/>
    <sheet name="Platform Requirements" sheetId="14" state="hidden" r:id="rId16"/>
    <sheet name="Cost Tracker" sheetId="15" state="hidden" r:id="rId17"/>
    <sheet name="Build Backlog" sheetId="16" state="hidden" r:id="rId18"/>
    <sheet name="Dev Plan" sheetId="17" state="hidden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<sst xmlns="http://schemas.openxmlformats.org/spreadsheetml/2006/main" count="3103" uniqueCount="1679">
  <si>
    <t xml:space="preserve">DOCMEE</t>
  </si>
  <si>
    <t xml:space="preserve">Command Center — planning &amp; build tracker</t>
  </si>
  <si>
    <t xml:space="preserve">AI chatbot platform for clinics · single source of truth · all data live</t>
  </si>
  <si>
    <t xml:space="preserve">KEY METRICS</t>
  </si>
  <si>
    <t xml:space="preserve">Phases sealed</t>
  </si>
  <si>
    <t xml:space="preserve">Decisions locked</t>
  </si>
  <si>
    <t xml:space="preserve">Decisions parked (revisit)</t>
  </si>
  <si>
    <t xml:space="preserve">Open risks (Med-High +)</t>
  </si>
  <si>
    <t xml:space="preserve">Security items open</t>
  </si>
  <si>
    <t xml:space="preserve">Requirements partial/gap</t>
  </si>
  <si>
    <t xml:space="preserve">Est. dev hours (plan)</t>
  </si>
  <si>
    <t xml:space="preserve">Actual hours logged</t>
  </si>
  <si>
    <t xml:space="preserve">AI uses logged</t>
  </si>
  <si>
    <t xml:space="preserve">Grand cost (to date)</t>
  </si>
  <si>
    <t xml:space="preserve">TABS  ·  all hidden — right-click the Main tab ► Unhide to open any sheet</t>
  </si>
  <si>
    <t xml:space="preserve">▸  Overview</t>
  </si>
  <si>
    <t xml:space="preserve">▸  Risk Register</t>
  </si>
  <si>
    <t xml:space="preserve">▸  Action Tracker</t>
  </si>
  <si>
    <t xml:space="preserve">▸  Phase Gates</t>
  </si>
  <si>
    <t xml:space="preserve">▸  Decisions Index</t>
  </si>
  <si>
    <t xml:space="preserve">▸  Progress (Gantts)</t>
  </si>
  <si>
    <t xml:space="preserve">▸  Platform Requirements</t>
  </si>
  <si>
    <t xml:space="preserve">▸  Security Audit</t>
  </si>
  <si>
    <t xml:space="preserve">▸  Cost Tracker</t>
  </si>
  <si>
    <t xml:space="preserve">▸  Gaps</t>
  </si>
  <si>
    <t xml:space="preserve">▸  Pros</t>
  </si>
  <si>
    <t xml:space="preserve">▸  Cons</t>
  </si>
  <si>
    <t xml:space="preserve">▸  Future Improvements</t>
  </si>
  <si>
    <t xml:space="preserve">▸  Update Log</t>
  </si>
  <si>
    <t xml:space="preserve">▸  Build Backlog</t>
  </si>
  <si>
    <t xml:space="preserve">▸  Dev Plan</t>
  </si>
  <si>
    <t xml:space="preserve">To open a sheet: right-click the 'Main' tab at the bottom ► Unhide ► choose the sheet. (Excel desktop / Google Sheets: View ► Hidden sheets.)</t>
  </si>
  <si>
    <t xml:space="preserve">OPEN DECISIONS &amp; GAPS</t>
  </si>
  <si>
    <t xml:space="preserve">•  PLANNING COMPLETE — 12 phases sealed + cross-cutting retention/observability/compliance (GDPR-baseline) locked. Next: build.</t>
  </si>
  <si>
    <t xml:space="preserve">•  Pre-launch actions: testing/QA execution (X19) · Guatemalan data-protection counsel review (X20) · backups (X12) · deflection sign-off (X14)</t>
  </si>
  <si>
    <t xml:space="preserve">•  Deferred by design (FI1–FI8): live calendar sync · self-host LLM · license · native app · billing · smarter merge · bot reschedule/cancel · broadcast</t>
  </si>
  <si>
    <t xml:space="preserve">•  Build-time gates (Phase Gates tab) + per-clinic onboarding (X1–X18) handled during implementation</t>
  </si>
  <si>
    <t xml:space="preserve">CONFIDENCE (Phase 0 → 3D)  ·  flag line = below 8.0</t>
  </si>
  <si>
    <t xml:space="preserve">Total decisions scored</t>
  </si>
  <si>
    <t xml:space="preserve">Average confidence</t>
  </si>
  <si>
    <t xml:space="preserve">Lowest score</t>
  </si>
  <si>
    <t xml:space="preserve">Decisions ≥ 9.0</t>
  </si>
  <si>
    <t xml:space="preserve">Decisions = 8.5</t>
  </si>
  <si>
    <t xml:space="preserve">Decisions = 8.0 (lowest locked tier)</t>
  </si>
  <si>
    <t xml:space="preserve">Decisions below 8.0 (FLAGGED)</t>
  </si>
  <si>
    <t xml:space="preserve">🚩 Below 8.0: 2B / cross-channel identity merge = 7.5 — deliberate manual-merge (avoids PHI-mixing); recorded as a Con + FI6. Knowingly flagged, not an oversight.</t>
  </si>
  <si>
    <t xml:space="preserve">At 8.0 (watch list): 1B Data capture · 2A Notifications · 2B Unified inbox · 3A Doctor routing · 3B Flow builder · 3B Secretary copilot · 3C Sheets/CRM export</t>
  </si>
  <si>
    <t xml:space="preserve">Docmee — Project Trackers</t>
  </si>
  <si>
    <t xml:space="preserve">Consolidated living workbook · risks, external actions, phase gates, decisions, update log</t>
  </si>
  <si>
    <t xml:space="preserve">Last updated: 13 June 2026</t>
  </si>
  <si>
    <t xml:space="preserve">Phase status (all 12 phases)</t>
  </si>
  <si>
    <t xml:space="preserve">Phase</t>
  </si>
  <si>
    <t xml:space="preserve">Status</t>
  </si>
  <si>
    <t xml:space="preserve">0 — Foundation</t>
  </si>
  <si>
    <t xml:space="preserve">Sealed</t>
  </si>
  <si>
    <t xml:space="preserve">1A — Core Inbox + Bot</t>
  </si>
  <si>
    <t xml:space="preserve">1B — Human Inbox + Patient Data</t>
  </si>
  <si>
    <t xml:space="preserve">1C — Scheduling</t>
  </si>
  <si>
    <t xml:space="preserve">2A — Multi-User Operations</t>
  </si>
  <si>
    <t xml:space="preserve">2B — Channels</t>
  </si>
  <si>
    <t xml:space="preserve">2C — Automation &amp; Templates</t>
  </si>
  <si>
    <t xml:space="preserve">2D — Analytics &amp; Search</t>
  </si>
  <si>
    <t xml:space="preserve">3A — Multi-Doctor</t>
  </si>
  <si>
    <t xml:space="preserve">3B — Advanced Intake</t>
  </si>
  <si>
    <t xml:space="preserve">3C — Integrations &amp; OCR</t>
  </si>
  <si>
    <t xml:space="preserve">3D — Mobile / PWA / Push</t>
  </si>
  <si>
    <t xml:space="preserve">Summary (live counts — recomputed each run)</t>
  </si>
  <si>
    <t xml:space="preserve">Metric</t>
  </si>
  <si>
    <t xml:space="preserve">Count</t>
  </si>
  <si>
    <t xml:space="preserve">Risks — Med-High priority</t>
  </si>
  <si>
    <t xml:space="preserve">Risks — Medium priority</t>
  </si>
  <si>
    <t xml:space="preserve">Risks — Low priority</t>
  </si>
  <si>
    <t xml:space="preserve">Actions — Not started</t>
  </si>
  <si>
    <t xml:space="preserve">Actions — In progress</t>
  </si>
  <si>
    <t xml:space="preserve">Actions — Blocked/waiting</t>
  </si>
  <si>
    <t xml:space="preserve">Actions — Closed</t>
  </si>
  <si>
    <t xml:space="preserve">Actions — Parked</t>
  </si>
  <si>
    <t xml:space="preserve">Phases — Sealed</t>
  </si>
  <si>
    <t xml:space="preserve">Security — Open items</t>
  </si>
  <si>
    <t xml:space="preserve">Requirements — Partial/Gap (to address)</t>
  </si>
  <si>
    <t xml:space="preserve">Legend</t>
  </si>
  <si>
    <t xml:space="preserve">Term</t>
  </si>
  <si>
    <t xml:space="preserve">Meaning</t>
  </si>
  <si>
    <t xml:space="preserve">Owner</t>
  </si>
  <si>
    <t xml:space="preserve">Clinic = end-user clinic · Docmee = Docmee team</t>
  </si>
  <si>
    <t xml:space="preserve">Path</t>
  </si>
  <si>
    <t xml:space="preserve">Dev path = blocks the build · Off dev path = does not block the build</t>
  </si>
  <si>
    <t xml:space="preserve">Priority</t>
  </si>
  <si>
    <t xml:space="preserve">High / Med-High / Medium / Low (likelihood × severity)</t>
  </si>
  <si>
    <t xml:space="preserve">Tabs</t>
  </si>
  <si>
    <t xml:space="preserve">Risks · Actions · Gates · Decisions · Gaps · Pros · Cons · Progress · Security Audit · Future Improvements</t>
  </si>
  <si>
    <t xml:space="preserve">ID</t>
  </si>
  <si>
    <t xml:space="preserve">Risk</t>
  </si>
  <si>
    <t xml:space="preserve">Affects</t>
  </si>
  <si>
    <t xml:space="preserve">Likelihood</t>
  </si>
  <si>
    <t xml:space="preserve">Severity</t>
  </si>
  <si>
    <t xml:space="preserve">Disposition / Status</t>
  </si>
  <si>
    <t xml:space="preserve">R1</t>
  </si>
  <si>
    <t xml:space="preserve">Meta asset transfer / WhatsApp setup (already verified, same entity)</t>
  </si>
  <si>
    <t xml:space="preserve">Clinic</t>
  </si>
  <si>
    <t xml:space="preserve">Per-clinic go-live</t>
  </si>
  <si>
    <t xml:space="preserve">Low</t>
  </si>
  <si>
    <t xml:space="preserve">Med</t>
  </si>
  <si>
    <t xml:space="preserve">Off dev path</t>
  </si>
  <si>
    <t xml:space="preserve">Largely retired — routine; clinic-owned</t>
  </si>
  <si>
    <t xml:space="preserve">R2</t>
  </si>
  <si>
    <t xml:space="preserve">Message-template approval (2C, outside 24h window)</t>
  </si>
  <si>
    <t xml:space="preserve">Per-clinic 2C automation</t>
  </si>
  <si>
    <t xml:space="preserve">Clinic responsibility; Docmee may supply content</t>
  </si>
  <si>
    <t xml:space="preserve">R3</t>
  </si>
  <si>
    <t xml:space="preserve">Legal docs (privacy policy, terms, Spanish)</t>
  </si>
  <si>
    <t xml:space="preserve">Per-clinic launch</t>
  </si>
  <si>
    <t xml:space="preserve">Medium</t>
  </si>
  <si>
    <t xml:space="preserve">Open — clinic-owned; Docmee supplies template (X11)</t>
  </si>
  <si>
    <t xml:space="preserve">R4</t>
  </si>
  <si>
    <t xml:space="preserve">App-layer encryption breaks SQL filtering</t>
  </si>
  <si>
    <t xml:space="preserve">Docmee</t>
  </si>
  <si>
    <t xml:space="preserve">Patient lookup, matching, dedupe</t>
  </si>
  <si>
    <t xml:space="preserve">Dev path</t>
  </si>
  <si>
    <t xml:space="preserve">De-risked &amp; locked: separate stable HMAC key; DAL lookups; ciphertext never in WHERE</t>
  </si>
  <si>
    <t xml:space="preserve">R5</t>
  </si>
  <si>
    <t xml:space="preserve">RLS cross-tenant carve-out done wrong → isolation leak</t>
  </si>
  <si>
    <t xml:space="preserve">Workers, metrics, DLQ, IA Studio</t>
  </si>
  <si>
    <t xml:space="preserve">High</t>
  </si>
  <si>
    <t xml:space="preserve">De-risked &amp; locked: named admin role + withAdminContext() + allowlist + audit</t>
  </si>
  <si>
    <t xml:space="preserve">R6</t>
  </si>
  <si>
    <t xml:space="preserve">Single-clinic-per-user may not fit a clinic-group customer</t>
  </si>
  <si>
    <t xml:space="preserve">Auth/JWT/RLS if revisited</t>
  </si>
  <si>
    <t xml:space="preserve">Med-High</t>
  </si>
  <si>
    <t xml:space="preserve">Accepted — one-to-one locked; bounded future migration</t>
  </si>
  <si>
    <t xml:space="preserve">R7</t>
  </si>
  <si>
    <t xml:space="preserve">Unofficial WhatsApp gateway (Evolution) for interim/live traffic</t>
  </si>
  <si>
    <t xml:space="preserve">Docmee tech/ops</t>
  </si>
  <si>
    <t xml:space="preserve">Channel continuity; PHI custody</t>
  </si>
  <si>
    <t xml:space="preserve">Accepted — bounded by interim use + supervision; prompt X10 cutover</t>
  </si>
  <si>
    <t xml:space="preserve">R8</t>
  </si>
  <si>
    <t xml:space="preserve">Single-VPS = single point of failure</t>
  </si>
  <si>
    <t xml:space="preserve">Availability once real clinics depend</t>
  </si>
  <si>
    <t xml:space="preserve">High (Low w/ backups)</t>
  </si>
  <si>
    <t xml:space="preserve">Redundancy deferred (X13); backups REQUIRED before real patients (X12)</t>
  </si>
  <si>
    <t xml:space="preserve">R9</t>
  </si>
  <si>
    <t xml:space="preserve">Document ingestion expands Phase 1A scope</t>
  </si>
  <si>
    <t xml:space="preserve">1A timeline; embedding spend</t>
  </si>
  <si>
    <t xml:space="preserve">Open — mitigated (text-layer, off-the-shelf libs, OCR→3C); fallback end-1A/early-1B</t>
  </si>
  <si>
    <t xml:space="preserve">R10</t>
  </si>
  <si>
    <t xml:space="preserve">Bot mis-handles a distress message (booking-only clinics)</t>
  </si>
  <si>
    <t xml:space="preserve">Docmee + Clinic</t>
  </si>
  <si>
    <t xml:space="preserve">Reputation; liability</t>
  </si>
  <si>
    <t xml:space="preserve">Safety</t>
  </si>
  <si>
    <t xml:space="preserve">Reduced — minimal deflection guardrail; clinic sign-off (X14)</t>
  </si>
  <si>
    <t xml:space="preserve">R11</t>
  </si>
  <si>
    <t xml:space="preserve">Cross-channel / duplicate patient records</t>
  </si>
  <si>
    <t xml:space="preserve">CRM data quality; history continuity</t>
  </si>
  <si>
    <t xml:space="preserve">Low-Med</t>
  </si>
  <si>
    <t xml:space="preserve">Mitigated — manual staff-merge in 2B (audited, confirmation); smarter auto/suggested/reversible merge → FI6</t>
  </si>
  <si>
    <t xml:space="preserve">R12</t>
  </si>
  <si>
    <t xml:space="preserve">No message-content search in 1B (message bodies encrypted)</t>
  </si>
  <si>
    <t xml:space="preserve">Inbox search UX; clinic expectation</t>
  </si>
  <si>
    <t xml:space="preserve">Resolved — 2D adds per-clinic full-text message search (tsvector+GIN, RLS, audited); 1B shipped structured filters + identity (HMAC) search</t>
  </si>
  <si>
    <t xml:space="preserve">R13</t>
  </si>
  <si>
    <t xml:space="preserve">Bot patient-data mis-capture (extraction accuracy)</t>
  </si>
  <si>
    <t xml:space="preserve">CRM data quality</t>
  </si>
  <si>
    <t xml:space="preserve">Accepted/mitigated — confidence-gating (verified vs suggested), secretary-edits-win, per-field source, no deletes, full audit; tune on real traffic</t>
  </si>
  <si>
    <t xml:space="preserve">Item</t>
  </si>
  <si>
    <t xml:space="preserve">Blocks / Needed by</t>
  </si>
  <si>
    <t xml:space="preserve">Lead time</t>
  </si>
  <si>
    <t xml:space="preserve">X1</t>
  </si>
  <si>
    <t xml:space="preserve">Transfer Meta (WhatsApp/WABA) asset into Docmee/clinic app</t>
  </si>
  <si>
    <t xml:space="preserve">Per-clinic go-live (off dev path)</t>
  </si>
  <si>
    <t xml:space="preserve">~Days</t>
  </si>
  <si>
    <t xml:space="preserve">In progress</t>
  </si>
  <si>
    <t xml:space="preserve">X2</t>
  </si>
  <si>
    <t xml:space="preserve">Interim WhatsApp connectivity via self-hosted Evolution API (supervised, interim)</t>
  </si>
  <si>
    <t xml:space="preserve">Docmee tech</t>
  </si>
  <si>
    <t xml:space="preserve">Phase 0 Track A + early onboarding</t>
  </si>
  <si>
    <t xml:space="preserve">Days</t>
  </si>
  <si>
    <t xml:space="preserve">X3</t>
  </si>
  <si>
    <t xml:space="preserve">Draft + publish privacy policy &amp; terms (Spanish)</t>
  </si>
  <si>
    <t xml:space="preserve">Per-clinic launch (off dev path)</t>
  </si>
  <si>
    <t xml:space="preserve">1–2 weeks</t>
  </si>
  <si>
    <t xml:space="preserve">Not started</t>
  </si>
  <si>
    <t xml:space="preserve">X4</t>
  </si>
  <si>
    <t xml:space="preserve">Draft + submit WhatsApp message templates</t>
  </si>
  <si>
    <t xml:space="preserve">Clinic (Docmee content)</t>
  </si>
  <si>
    <t xml:space="preserve">Per-clinic 2C (off dev path)</t>
  </si>
  <si>
    <t xml:space="preserve">1–3 wks/batch</t>
  </si>
  <si>
    <t xml:space="preserve">X5</t>
  </si>
  <si>
    <t xml:space="preserve">Provision third-party API creds — Docmee platform keys (Model A); transcription provider-abstracted</t>
  </si>
  <si>
    <t xml:space="preserve">1A end-to-end (not start)</t>
  </si>
  <si>
    <t xml:space="preserve">Hours–days</t>
  </si>
  <si>
    <t xml:space="preserve">X6</t>
  </si>
  <si>
    <t xml:space="preserve">Stand up Supabase + Redis + VPS + DNS (+ Storage)</t>
  </si>
  <si>
    <t xml:space="preserve">Phase 0 deploy target</t>
  </si>
  <si>
    <t xml:space="preserve">X7</t>
  </si>
  <si>
    <t xml:space="preserve">Per-clinic WhatsApp display-name approval + number (Cloud API)</t>
  </si>
  <si>
    <t xml:space="preserve">Per-clinic go-live official API (off dev path)</t>
  </si>
  <si>
    <t xml:space="preserve">Blocked/waiting</t>
  </si>
  <si>
    <t xml:space="preserve">X8</t>
  </si>
  <si>
    <t xml:space="preserve">Encryption key source</t>
  </si>
  <si>
    <t xml:space="preserve">Phase 0</t>
  </si>
  <si>
    <t xml:space="preserve">—</t>
  </si>
  <si>
    <t xml:space="preserve">Closed — Supabase Vault + envelope + key_version; host-store fallback</t>
  </si>
  <si>
    <t xml:space="preserve">X9</t>
  </si>
  <si>
    <t xml:space="preserve">Stand up &amp; maintain self-hosted Evolution API in Docmee infra</t>
  </si>
  <si>
    <t xml:space="preserve">X2 interim + 1A end-to-end testing</t>
  </si>
  <si>
    <t xml:space="preserve">X10</t>
  </si>
  <si>
    <t xml:space="preserve">Per-clinic cutover: Evolution → Meta Cloud API</t>
  </si>
  <si>
    <t xml:space="preserve">End-state channel per clinic</t>
  </si>
  <si>
    <t xml:space="preserve">Per clinic</t>
  </si>
  <si>
    <t xml:space="preserve">X11</t>
  </si>
  <si>
    <t xml:space="preserve">Clinic onboarding-support checklist/guide</t>
  </si>
  <si>
    <t xml:space="preserve">Smooth onboarding; protects launch</t>
  </si>
  <si>
    <t xml:space="preserve">X12</t>
  </si>
  <si>
    <t xml:space="preserve">VPS backup + recovery plan (mitigates R8)</t>
  </si>
  <si>
    <t xml:space="preserve">Before real patient traffic</t>
  </si>
  <si>
    <t xml:space="preserve">X13</t>
  </si>
  <si>
    <t xml:space="preserve">Redundancy / HA build-out (Redis external → multi-node → LB)</t>
  </si>
  <si>
    <t xml:space="preserve">Trigger: first real patients / SLA</t>
  </si>
  <si>
    <t xml:space="preserve">1–4 weeks</t>
  </si>
  <si>
    <t xml:space="preserve">Parked</t>
  </si>
  <si>
    <t xml:space="preserve">X14</t>
  </si>
  <si>
    <t xml:space="preserve">Deflection-message sign-off + local emergency number (mitigates R10)</t>
  </si>
  <si>
    <t xml:space="preserve">Clinic + Docmee</t>
  </si>
  <si>
    <t xml:space="preserve">Mins–hours</t>
  </si>
  <si>
    <t xml:space="preserve">X15</t>
  </si>
  <si>
    <t xml:space="preserve">Per-clinic Google Calendar connection (OAuth consent + select calendar) + availability schedule config (hours, slot length, buffers)</t>
  </si>
  <si>
    <t xml:space="preserve">Clinic (Docmee guidance)</t>
  </si>
  <si>
    <t xml:space="preserve">Per-clinic booking (1C)</t>
  </si>
  <si>
    <t xml:space="preserve">X16</t>
  </si>
  <si>
    <t xml:space="preserve">Per-clinic Messenger + Instagram channel connection (connect Facebook Page / IG account via Meta)</t>
  </si>
  <si>
    <t xml:space="preserve">Per-clinic multi-channel (2B)</t>
  </si>
  <si>
    <t xml:space="preserve">X17</t>
  </si>
  <si>
    <t xml:space="preserve">Per-doctor Google Calendar connection (each doctor connects their own calendar; multi-doctor clinics)</t>
  </si>
  <si>
    <t xml:space="preserve">Clinic + doctor (Docmee guidance)</t>
  </si>
  <si>
    <t xml:space="preserve">Per-doctor scheduling (3A)</t>
  </si>
  <si>
    <t xml:space="preserve">X18</t>
  </si>
  <si>
    <t xml:space="preserve">Per-clinic Google Sheets / CRM connection (OAuth/credentials + field mapping) for lead/patient export</t>
  </si>
  <si>
    <t xml:space="preserve">Per-clinic integrations (3C)</t>
  </si>
  <si>
    <t xml:space="preserve">X19</t>
  </si>
  <si>
    <t xml:space="preserve">Testing/QA execution — layered suite: unit · integration · provider-abstraction contract · E2E · RLS/tenant-isolation · six-gate/idempotency · LLM safety-eval harness; CI per PR + seeded staging</t>
  </si>
  <si>
    <t xml:space="preserve">Post-deployment QA hardening (per scope: tracked here, non-blocking to core dev)</t>
  </si>
  <si>
    <t xml:space="preserve">Ongoing</t>
  </si>
  <si>
    <t xml:space="preserve">X20</t>
  </si>
  <si>
    <t xml:space="preserve">Guatemalan data-protection counsel review — consent, retention, health-data + export obligations; confirm GDPR-baseline design (complements X3 privacy policy)</t>
  </si>
  <si>
    <t xml:space="preserve">Docmee + local counsel</t>
  </si>
  <si>
    <t xml:space="preserve">#</t>
  </si>
  <si>
    <t xml:space="preserve">Gate criterion (pass/fail)</t>
  </si>
  <si>
    <t xml:space="preserve">Result</t>
  </si>
  <si>
    <t xml:space="preserve">Notes</t>
  </si>
  <si>
    <t xml:space="preserve">0</t>
  </si>
  <si>
    <t xml:space="preserve">Inbound message stored, normalized, scoped to correct clinic_id</t>
  </si>
  <si>
    <t xml:space="preserve">Pending</t>
  </si>
  <si>
    <t xml:space="preserve">Cross-tenant read denied at the DB (RLS proven)</t>
  </si>
  <si>
    <t xml:space="preserve">Worker assumes clinic context (SET LOCAL); admin role only cross-tenant path</t>
  </si>
  <si>
    <t xml:space="preserve">Redelivered wamid → exactly one row (idempotency)</t>
  </si>
  <si>
    <t xml:space="preserve">Outbound delivers; send to opted-out patient blocked at chokepoint</t>
  </si>
  <si>
    <t xml:space="preserve">Unknown phone_number_id logged + metric + dropped (no crash/row)</t>
  </si>
  <si>
    <t xml:space="preserve">Ciphertext at rest; HMAC lookup resolves; key_version recorded</t>
  </si>
  <si>
    <t xml:space="preserve">Clinic JWT scoped; platform users only via logged impersonation</t>
  </si>
  <si>
    <t xml:space="preserve">Migrations apply clean forward from empty DB; /health/ready green</t>
  </si>
  <si>
    <t xml:space="preserve">1A</t>
  </si>
  <si>
    <t xml:space="preserve">KB entries + text-layer doc → chunks embedded → review→live; retrieval ≥0.70; rules injected</t>
  </si>
  <si>
    <t xml:space="preserve">Intent + routing; taken-over conv never auto-replies; distress → deflection; no reply without decision token</t>
  </si>
  <si>
    <t xml:space="preserve">KB-covered question → grounded answer; no-KB → acknowledge + handoff (no hallucination)</t>
  </si>
  <si>
    <t xml:space="preserve">Free-form inside 24h; out-of-window reply held → resend once → escalate</t>
  </si>
  <si>
    <t xml:space="preserve">Inbox real-time; manual reply chokepoint-checked; takeover/resolve; inactivity revert silent</t>
  </si>
  <si>
    <t xml:space="preserve">Spanish voice note transcribes → text pipeline; fail → retype; repeat → handoff</t>
  </si>
  <si>
    <t xml:space="preserve">First bot reply of a new conversation includes one-time disclosure</t>
  </si>
  <si>
    <t xml:space="preserve">Provider 429/5xx → bounded retry → handoff + holding message (no crash/hang)</t>
  </si>
  <si>
    <t xml:space="preserve">Inbound &gt;30 days → new conversation; resolved + inbound &lt;7 days → reopen in bot mode</t>
  </si>
  <si>
    <t xml:space="preserve">Failed embedding job → retry → mark chunk failed + flag doc incomplete; others unaffected</t>
  </si>
  <si>
    <t xml:space="preserve">1B</t>
  </si>
  <si>
    <t xml:space="preserve">Patient auto-created on first contact; clinic-scoped one-per-identity</t>
  </si>
  <si>
    <t xml:space="preserve">Q1 (in progress)</t>
  </si>
  <si>
    <t xml:space="preserve">Patient progressively enriched; valid with identity only</t>
  </si>
  <si>
    <t xml:space="preserve">Q1</t>
  </si>
  <si>
    <t xml:space="preserve">patient_id backfilled onto 1A conversations; inbound resolves-or-creates</t>
  </si>
  <si>
    <t xml:space="preserve">Functional patient profile: history, tags, statuses, notes, search/filter</t>
  </si>
  <si>
    <t xml:space="preserve">Q2</t>
  </si>
  <si>
    <t xml:space="preserve">Shared queue + claim; reply/takeover auto-assigns; reassign allowed</t>
  </si>
  <si>
    <t xml:space="preserve">Free-form multi-tags + patient status; conversation state = mode (no duplicate)</t>
  </si>
  <si>
    <t xml:space="preserve">Patient-level internal notes (authored + timestamped, staff-only)</t>
  </si>
  <si>
    <t xml:space="preserve">Inbox filters (mode/assignment/tags/status/date) + patient-identity search</t>
  </si>
  <si>
    <t xml:space="preserve">Bot captures name/reason via tool-calling → validated DAL writes (field-level, logged, no deletes)</t>
  </si>
  <si>
    <t xml:space="preserve">Q3</t>
  </si>
  <si>
    <t xml:space="preserve">Ambiguous capture confirmed or written as suggested (not committed); never fabricates</t>
  </si>
  <si>
    <t xml:space="preserve">Per-field source (bot/staff); secretary-set fields locked from bot overwrite</t>
  </si>
  <si>
    <t xml:space="preserve">Handoff/distress → urgent notification (panel + email); new lead → panel; visible until acknowledged</t>
  </si>
  <si>
    <t xml:space="preserve">Q4</t>
  </si>
  <si>
    <t xml:space="preserve">Clinic-level email config: recipients + per-event toggles; dispatcher honors config</t>
  </si>
  <si>
    <t xml:space="preserve">patient_id backfill links existing conversations; resolve-or-create on inbound</t>
  </si>
  <si>
    <t xml:space="preserve">Sweep</t>
  </si>
  <si>
    <t xml:space="preserve">Patient profile shows conversation-list + data/tags/notes (no merged message-stream)</t>
  </si>
  <si>
    <t xml:space="preserve">RBAC enforced at API/DAL across inbox/profile/notes (Assistant: no reply, no notes)</t>
  </si>
  <si>
    <t xml:space="preserve">1C</t>
  </si>
  <si>
    <t xml:space="preserve">Booking creates a linked Google Calendar event (datetime) + appointments row (the rest)</t>
  </si>
  <si>
    <t xml:space="preserve">Availability = clinic schedule ∩ Google free/busy; no slot offered that conflicts with calendar busy</t>
  </si>
  <si>
    <t xml:space="preserve">One calendar per clinic; per-doctor calendars deferred to 3A</t>
  </si>
  <si>
    <t xml:space="preserve">8-step intake persisted in patient_intake; resumes from saved step after interruption/takeover</t>
  </si>
  <si>
    <t xml:space="preserve">Mid-intake digression: bot answers from KB then returns to the intake step</t>
  </si>
  <si>
    <t xml:space="preserve">Availability re-validated at write; if slot taken → re-offer fresh slots</t>
  </si>
  <si>
    <t xml:space="preserve">Bot completes booking; no-slots/stuck/explicit-person → handoff with partial intake; reschedule/cancel → secretary</t>
  </si>
  <si>
    <t xml:space="preserve">Appointment states + logged transitions (appointment_status_log)</t>
  </si>
  <si>
    <t xml:space="preserve">Auto-completion job sets completed (now&gt;end+30m) + fires a 2C-bound hook; no-show set manually</t>
  </si>
  <si>
    <t xml:space="preserve">Appointments surfaced in patient profile + inbox status; manual changes RBAC-gated + logged</t>
  </si>
  <si>
    <t xml:space="preserve">Cancellation cascade: cancel Google event + clear pending; mechanism ready for 2C automation-kill</t>
  </si>
  <si>
    <t xml:space="preserve">Calendar outage/disconnect → booking fails safe to handoff + clinic 'Calendar disconnected' alert</t>
  </si>
  <si>
    <t xml:space="preserve">Double-write: event first then row; row-fail compensates (deletes event); reconciliation backstop</t>
  </si>
  <si>
    <t xml:space="preserve">Confirmation reads back absolute clinic-local datetime; UTC stored; DST-correct; horizon + no-past guard</t>
  </si>
  <si>
    <t xml:space="preserve">2A</t>
  </si>
  <si>
    <t xml:space="preserve">Clinic selects routing strategy; shared-queue default unchanged from 1B</t>
  </si>
  <si>
    <t xml:space="preserve">Round-robin / load-based assign only to available staff; none available → shared queue + notify</t>
  </si>
  <si>
    <t xml:space="preserve">Routing never overrides explicit assignment; reassign allowed; RBAC-gated targets</t>
  </si>
  <si>
    <t xml:space="preserve">P1–P4 priorities drive differentiated channels (panel/email/push) + escalation behavior</t>
  </si>
  <si>
    <t xml:space="preserve">Unacknowledged P1/P2 escalates assignee→all staff→admin→IA Studio; ack stops the ladder</t>
  </si>
  <si>
    <t xml:space="preserve">Dedup: repeated events on one conversation collapse into a single active notification</t>
  </si>
  <si>
    <t xml:space="preserve">Per-user prefs + quiet hours; P1/safety breaks through quiet hours</t>
  </si>
  <si>
    <t xml:space="preserve">Basic web push delivered (service worker + VAPID); native push deferred to 3D</t>
  </si>
  <si>
    <t xml:space="preserve">Quick replies insert with context-resolved variables; sent via chokepoint; never auto-sent</t>
  </si>
  <si>
    <t xml:space="preserve">IA Studio: clinic/plan/provider config; impersonation stamped + audited; panel RBAC enforced at API/DAL</t>
  </si>
  <si>
    <t xml:space="preserve">Manual invoice created/tracked; conversation-limit soft-cap warns + flags overage without cutting off care</t>
  </si>
  <si>
    <t xml:space="preserve">Q5</t>
  </si>
  <si>
    <t xml:space="preserve">2B</t>
  </si>
  <si>
    <t xml:space="preserve">Messenger + Instagram inbound normalized to common message shape; outbound via chokepoint</t>
  </si>
  <si>
    <t xml:space="preserve">Per-clinic channel connect (FB Page / IG); channel identity encrypted + HMAC</t>
  </si>
  <si>
    <t xml:space="preserve">Pipeline (gates/bot) runs channel-agnostic across all channels</t>
  </si>
  <si>
    <t xml:space="preserve">Unified inbox shows all channels with channel badge; CRM channel-agnostic</t>
  </si>
  <si>
    <t xml:space="preserve">Per-channel messaging-window rules enforced at outbound (WhatsApp/Messenger/IG)</t>
  </si>
  <si>
    <t xml:space="preserve">Manual cross-channel patient merge by secretary (audited, confirmation); no auto-merge</t>
  </si>
  <si>
    <t xml:space="preserve">Per-channel media/attachment types normalized; unsupported → notice/handoff</t>
  </si>
  <si>
    <t xml:space="preserve">Channel token/connection failure → channel disconnected + clinic alert; that channel's inbound paused</t>
  </si>
  <si>
    <t xml:space="preserve">2C</t>
  </si>
  <si>
    <t xml:space="preserve">Templates tracked draft→submitted→approved/rejected (Meta-synced); only approved templates send out-of-window</t>
  </si>
  <si>
    <t xml:space="preserve">Every proactive message passes all six gates at the chokepoint; fail any → not sent + logged</t>
  </si>
  <si>
    <t xml:space="preserve">Reminder/confirmation jobs scheduled on booking; confirm-reply → confirmed; cancel/reschedule moves/kills jobs</t>
  </si>
  <si>
    <t xml:space="preserve">Auto-completion hook fires post-visit follow-up; no-show recovery; all template-gated + per-clinic configurable</t>
  </si>
  <si>
    <t xml:space="preserve">2D</t>
  </si>
  <si>
    <t xml:space="preserve">Metrics + QoS rollup jobs populate per-clinic aggregate tables; dashboards in IA Studio + clinic panel</t>
  </si>
  <si>
    <t xml:space="preserve">Error review queue surfaces categorized bot/agent/API failures; unanswered → KB suggestion</t>
  </si>
  <si>
    <t xml:space="preserve">Per-clinic full-text message search (tsvector+GIN, RLS, audited); resolves R12</t>
  </si>
  <si>
    <t xml:space="preserve">3A</t>
  </si>
  <si>
    <t xml:space="preserve">Doctor entity active: per-doctor calendar/services/hours/FAQs; doctor=bookable profile ± user account; N=1 backward compatible</t>
  </si>
  <si>
    <t xml:space="preserve">Booking intake adds doctor selection when &gt;1 doctor (explicit/specialty/any-available); single-doctor auto-skips</t>
  </si>
  <si>
    <t xml:space="preserve">Doctor-aware KB retrieval (clinic-shared + selected-doctor chunks); no cross-doctor leakage</t>
  </si>
  <si>
    <t xml:space="preserve">Conversations/appointments associate to a doctor; inbox filter + per-doctor routing/visibility (reuses 2A)</t>
  </si>
  <si>
    <t xml:space="preserve">3B</t>
  </si>
  <si>
    <t xml:space="preserve">Declarative custom flows run by a deterministic engine; tool steps allowlisted; guardrails enforced; versioned + starter library</t>
  </si>
  <si>
    <t xml:space="preserve">Structured conditional rules; safety-critical rules enforced deterministically at gates; tone = rule setting (PR26/PR27)</t>
  </si>
  <si>
    <t xml:space="preserve">Secretary copilot (draft/summarize/suggest) human-in-the-loop; never auto-sends; KB-grounded; no cross-clinic PHI</t>
  </si>
  <si>
    <t xml:space="preserve">3C</t>
  </si>
  <si>
    <t xml:space="preserve">Ingestion handles scanned docs via OCR + docx/structured parsers; low-confidence flagged for review; same KB path</t>
  </si>
  <si>
    <t xml:space="preserve">Per-clinic Sheets/CRM export (append + webhook); encrypted creds; clinic-authorized fields only; egress audited</t>
  </si>
  <si>
    <t xml:space="preserve">Automated periodic reports (PDF/email/Sheet) from 2D analytics; per-clinic cadence; clinic-scoped</t>
  </si>
  <si>
    <t xml:space="preserve">3D</t>
  </si>
  <si>
    <t xml:space="preserve">Panel installable as a PWA (manifest + service worker); responsive; native app stays FI4</t>
  </si>
  <si>
    <t xml:space="preserve">Web Push (VAPID) delivers P1–P4 alerts to staff devices; per-user subs; preference + quiet-hours respected; email fallback</t>
  </si>
  <si>
    <t xml:space="preserve">PWA reaches parity on secretary daily-driver ops (inbox, bot control, appointments, alerts, notes)</t>
  </si>
  <si>
    <t xml:space="preserve">Area</t>
  </si>
  <si>
    <t xml:space="preserve">Locked decision (summary)</t>
  </si>
  <si>
    <t xml:space="preserve">Confidence</t>
  </si>
  <si>
    <t xml:space="preserve">Score /10</t>
  </si>
  <si>
    <t xml:space="preserve">Flagged</t>
  </si>
  <si>
    <t xml:space="preserve">Reason if &lt; 8</t>
  </si>
  <si>
    <t xml:space="preserve">Record</t>
  </si>
  <si>
    <t xml:space="preserve">Worker RLS</t>
  </si>
  <si>
    <t xml:space="preserve">SET LOCAL app.clinic_id per job; audited admin role for cross-tenant</t>
  </si>
  <si>
    <t xml:space="preserve">phase-0</t>
  </si>
  <si>
    <t xml:space="preserve">Encryption</t>
  </si>
  <si>
    <t xml:space="preserve">App-layer envelope; key in Supabase Vault; key_version; separate stable HMAC key</t>
  </si>
  <si>
    <t xml:space="preserve">Identities</t>
  </si>
  <si>
    <t xml:space="preserve">platform_users vs clinic_users disjoint; impersonation only</t>
  </si>
  <si>
    <t xml:space="preserve">Tenancy</t>
  </si>
  <si>
    <t xml:space="preserve">User↔clinic one-to-one; doctor seam dormant → 3A</t>
  </si>
  <si>
    <t xml:space="preserve">Opt-out</t>
  </si>
  <si>
    <t xml:space="preserve">opted_out flag, all-stop, outbound chokepoint, bot-irreversible</t>
  </si>
  <si>
    <t xml:space="preserve">Mkt-std</t>
  </si>
  <si>
    <t xml:space="preserve">Loop</t>
  </si>
  <si>
    <t xml:space="preserve">Pipes only; no auto patient replies (first reply = 1A)</t>
  </si>
  <si>
    <t xml:space="preserve">Idempotency</t>
  </si>
  <si>
    <t xml:space="preserve">provider_message_id unique; insert-on-conflict-ignore</t>
  </si>
  <si>
    <t xml:space="preserve">Deploy</t>
  </si>
  <si>
    <t xml:space="preserve">Single-VPS all-in-one for pilot; Supabase managed</t>
  </si>
  <si>
    <t xml:space="preserve">Mechanisms</t>
  </si>
  <si>
    <t xml:space="preserve">SQL migrations+runner; withClinicContext; bootstrap; liveness/readiness; Vault boot; webhook handshake</t>
  </si>
  <si>
    <t xml:space="preserve">KB</t>
  </si>
  <si>
    <t xml:space="preserve">Unified substrate (manual + doc chunks); rules always-injected; 0.70; text-layer ingestion</t>
  </si>
  <si>
    <t xml:space="preserve">phase-1a</t>
  </si>
  <si>
    <t xml:space="preserve">Pipeline</t>
  </si>
  <si>
    <t xml:space="preserve">5 intents; ordered gate chain (takeover→safety→confidence→intent); decision-token outbound</t>
  </si>
  <si>
    <t xml:space="preserve">Prompt</t>
  </si>
  <si>
    <t xml:space="preserve">role→rules→KB→contract; ~10 turns; fail-safe truncation; cacheable prefix</t>
  </si>
  <si>
    <t xml:space="preserve">Window</t>
  </si>
  <si>
    <t xml:space="preserve">Auto-reply as gate outcome; out-of-window hold→resend once→escalate; no templates in 1A</t>
  </si>
  <si>
    <t xml:space="preserve">Inbox</t>
  </si>
  <si>
    <t xml:space="preserve">Modes bot/human/paused/resolved; explicit takeover; self-healing handback</t>
  </si>
  <si>
    <t xml:space="preserve">Audio</t>
  </si>
  <si>
    <t xml:space="preserve">Transcription provider-abstracted (Deepgram default); fail→retype; repeat→handoff</t>
  </si>
  <si>
    <t xml:space="preserve">Minimal deflection guardrail (booking-only clinics); deterministic gate + injected rules</t>
  </si>
  <si>
    <t xml:space="preserve">Keys</t>
  </si>
  <si>
    <t xml:space="preserve">Model A — Docmee-owned platform keys; provider/model = IA-Studio config; BYOK deferred</t>
  </si>
  <si>
    <t xml:space="preserve">Patient</t>
  </si>
  <si>
    <t xml:space="preserve">Auto-created, clinic-scoped one-per-identity, progressively enriched, distinct from intake</t>
  </si>
  <si>
    <t xml:space="preserve">phase-1b</t>
  </si>
  <si>
    <t xml:space="preserve">CRM</t>
  </si>
  <si>
    <t xml:space="preserve">Built-in = panel patient profile + tags/statuses/notes/search; polish→2A/2C; export→3C</t>
  </si>
  <si>
    <t xml:space="preserve">Assignment</t>
  </si>
  <si>
    <t xml:space="preserve">Shared queue + claim + auto-assign-on-takeover; auto-routing → 2A</t>
  </si>
  <si>
    <t xml:space="preserve">Tags/Status</t>
  </si>
  <si>
    <t xml:space="preserve">Free-form multi-tags + light patient status; NO duplicate conversation-status (mode covers it)</t>
  </si>
  <si>
    <t xml:space="preserve">Patient-level internal notes primary (authored+timestamped); conversation notes secondary</t>
  </si>
  <si>
    <t xml:space="preserve">Search</t>
  </si>
  <si>
    <t xml:space="preserve">Structured filters + patient-identity (HMAC) search; message-content search deferred (R12)</t>
  </si>
  <si>
    <t xml:space="preserve">Data capture</t>
  </si>
  <si>
    <t xml:space="preserve">Bot extracts contact/CRM fields via tool-calling → validated DAL allowlist writes; confidence-gated (verified vs suggested); per-field source; secretary edits win</t>
  </si>
  <si>
    <t xml:space="preserve">Notifications</t>
  </si>
  <si>
    <t xml:space="preserve">1B slice: handoff/distress → urgent (panel+email), new lead → info (panel); priority-tagged (P1–P4 fwd-compatible); visible-until-acknowledged; clinic-level email config (recipients + per-event toggles); escalation/per-user prefs/quiet-hours/push → 2A/3D</t>
  </si>
  <si>
    <t xml:space="preserve">Backfill resolve-or-create; patient timeline = conversation-list (no merged stream); bot-vs-bot newest-confident wins (staff&gt;bot); assignment persists through resolve; RBAC enforced at API/DAL</t>
  </si>
  <si>
    <t xml:space="preserve">Calendar</t>
  </si>
  <si>
    <t xml:space="preserve">Google Calendar = datetime source of truth + appointments row for the rest; availability = clinic schedule ∩ Google free/busy; Docmee primary writer; free/busy-at-booking + reconciliation; live two-way sync → Future Improvements (FI1); one calendar per clinic (per-doctor → 3A)</t>
  </si>
  <si>
    <t xml:space="preserve">phase-1c</t>
  </si>
  <si>
    <t xml:space="preserve">Scheduling agent</t>
  </si>
  <si>
    <t xml:space="preserve">8-step resumable intake in patient_intake (collect service/name/slot); resume-on-interruption + mid-intake digression; re-validate availability on write (re-offer if taken); bot owns booking, secretary catches edges with intake context; reschedule/cancel → humans in 1C</t>
  </si>
  <si>
    <t xml:space="preserve">Appt lifecycle</t>
  </si>
  <si>
    <t xml:space="preserve">States booked/confirmed/completed/cancelled/no-show + logged transitions; auto-completion sets state + fires 2C-bound hook; no-show manual; surfaced in profile+inbox; cancellation cascade mechanism built (calendar cancel + future automation kill); patient reminders → 2C</t>
  </si>
  <si>
    <t xml:space="preserve">Routing</t>
  </si>
  <si>
    <t xml:space="preserve">Optional per-clinic strategy (shared-queue default / round-robin / load-based); presence-aware (route only to available; none available → shared queue + notify); on handoff + new conversation; never overrides explicit assignment; RBAC-gated. Robust presence + load-optimization → FI5/FI6</t>
  </si>
  <si>
    <t xml:space="preserve">phase-2a</t>
  </si>
  <si>
    <t xml:space="preserve">Full system: P1–P4 driving differentiated channels/behavior; configurable escalation ladder (assignee→all staff→admin→IA Studio) stopping on ack (resolves routed-but-unack); dedup/collapse; per-user prefs + quiet hours with P1-safety breakthrough; panel + per-user email + basic web push (native push → 3D/FI4)</t>
  </si>
  <si>
    <t xml:space="preserve">Quick replies</t>
  </si>
  <si>
    <t xml:space="preserve">Clinic-defined canned responses + variable interpolation (patient/clinic/slot); secretary-inserted (never auto-sent); category/shortcut; via outbound chokepoint; no AI-suggested replies in 2A</t>
  </si>
  <si>
    <t xml:space="preserve">IA Studio + RBAC</t>
  </si>
  <si>
    <t xml:space="preserve">Platform-admin surface (clinic/plan/provider config, KB oversight, health, audited impersonation via Phase 0 acted_by seam); full 5-role matrix enforced at API/DAL; plan limits configured here, enforced in pipeline</t>
  </si>
  <si>
    <t xml:space="preserve">Invoicing</t>
  </si>
  <si>
    <t xml:space="preserve">Manual subscription invoices (plan/amount/period GTQ/status) + simple doc + manual mark-paid; automated billing → FI5</t>
  </si>
  <si>
    <t xml:space="preserve">Channels</t>
  </si>
  <si>
    <t xml:space="preserve">Add Messenger + Instagram via Meta Graph API/webhooks behind the locked channel abstraction; per-clinic connect; inbound normalized + outbound via chokepoint; pipeline channel-agnostic (official APIs, no Evolution needed)</t>
  </si>
  <si>
    <t xml:space="preserve">phase-2b</t>
  </si>
  <si>
    <t xml:space="preserve">Unified inbox</t>
  </si>
  <si>
    <t xml:space="preserve">All channels in one inbox (channel badge per conversation); CRM/inbox channel-agnostic (1B); per-channel messaging-window rules enforced at outbound; bot replies identically across channels</t>
  </si>
  <si>
    <t xml:space="preserve">Identity merge</t>
  </si>
  <si>
    <t xml:space="preserve">Manual merge only — secretary explicitly merges two patient records (audited, confirmation step); no auto-merge/auto-suggest (avoids PHI-mixing); smarter auto/suggested/reversible merge → FI6</t>
  </si>
  <si>
    <t xml:space="preserve">Manual (chosen)</t>
  </si>
  <si>
    <t xml:space="preserve">Yes — approved</t>
  </si>
  <si>
    <t xml:space="preserve">Cross-channel merge carries PHI-mixing risk (wrong merge blends two patients) and cross-channel signals are weak (IG/Messenger IDs ≠ phone). Hybrid auto-suggest rated 7.5; de-risked by choosing manual-only merge.</t>
  </si>
  <si>
    <t xml:space="preserve">Templates</t>
  </si>
  <si>
    <t xml:space="preserve">Clinic templates (reminders/confirmations/follow-ups) with variables; draft→submitted→approved/rejected (Meta-synced), versioned; managed in IA Studio; templates = only out-of-window path; Messenger/IG use message tags</t>
  </si>
  <si>
    <t xml:space="preserve">(pending record)</t>
  </si>
  <si>
    <t xml:space="preserve">Six-gate</t>
  </si>
  <si>
    <t xml:space="preserve">Every proactive message passes 6 gates at the chokepoint: opt-out · approved-template · timing/eligibility · appointment-state-valid (cancellation cascade) · dedup/frequency-cap · clinic-enabled. Transactional-only scope</t>
  </si>
  <si>
    <t xml:space="preserve">Reminders</t>
  </si>
  <si>
    <t xml:space="preserve">On booking, schedule reminder/confirmation jobs (BullMQ delayed); fire through six-gate; confirm-reply → booked→confirmed; cancellation/reschedule cancels/reschedules queued jobs (1C cascade gets its subscriber)</t>
  </si>
  <si>
    <t xml:space="preserve">Follow-ups</t>
  </si>
  <si>
    <t xml:space="preserve">Automation engine subscribes to 1C auto-completion hook (+ no-show/cancel): completion → post-visit/review follow-up; no-show → recovery; template-gated via six-gate; per-clinic configurable (completes 1C seam)</t>
  </si>
  <si>
    <t xml:space="preserve">Broadcast</t>
  </si>
  <si>
    <t xml:space="preserve">DEFERRED (locked) — broadcast/marketing deferred to FI8 (build later w/ explicit opt-in + marketing templates + frequency caps + number-reputation safeguards); 2C ships transactional-only</t>
  </si>
  <si>
    <t xml:space="preserve">phase-2c</t>
  </si>
  <si>
    <t xml:space="preserve">Analytics</t>
  </si>
  <si>
    <t xml:space="preserve">Metrics + QoS via scheduled rollup jobs into per-clinic aggregate tables (RLS): PR17 (totals, by-channel, leads, requests, scheduled, transfers, common Qs, peak hours, no-response, conversion) + PR32 (upset, abandoned, response times, no-closure, follow-up ops); dashboards in IA Studio + clinic panel</t>
  </si>
  <si>
    <t xml:space="preserve">Error review</t>
  </si>
  <si>
    <t xml:space="preserve">Review queue fed by error_log + DLQ + events: unanswered, bot-asked-help, bad responses, handoffs, unknown intents, Meta/Calendar errors, failed messages; categorized + actionable (unanswered → KB-suggestion loop)</t>
  </si>
  <si>
    <t xml:space="preserve">Content search</t>
  </si>
  <si>
    <t xml:space="preserve">Postgres full-text search (tsvector + GIN) over message content, strictly per-clinic (RLS) + audited; resolves R12 (deferred from 1B); semantic/pgvector search → FI</t>
  </si>
  <si>
    <t xml:space="preserve">Doctor entity</t>
  </si>
  <si>
    <t xml:space="preserve">Activate dormant doctor seam (P0): clinic has 1..N doctors; per-doctor calendar/services/hours/FAQs. Doctor = bookable profile, optionally linked to a user account w/ doctor role. Single-doctor = N=1 default (backward compatible)</t>
  </si>
  <si>
    <t xml:space="preserve">Doctor selection</t>
  </si>
  <si>
    <t xml:space="preserve">Extends locked 8-step intake: &gt;1 doctor adds a selection step (explicit / specialty-inferred / 'any available' = earliest across doctors) then checks that doctor's calendar; single-doctor auto-skips</t>
  </si>
  <si>
    <t xml:space="preserve">Per-doctor KB</t>
  </si>
  <si>
    <t xml:space="preserve">Retrieval is doctor-aware once a doctor context is set: clinic-shared chunks + selected-doctor chunks; rules always-injected; no cross-doctor leakage; pre-selection answers at clinic level / lists doctors</t>
  </si>
  <si>
    <t xml:space="preserve">Doctor routing</t>
  </si>
  <si>
    <t xml:space="preserve">Conversations/appointments associate with a doctor; inbox filter by doctor; notifications route per-doctor-staffing or shared queue; doctor role sees own appts/convos (reuses 2A RBAC/routing)</t>
  </si>
  <si>
    <t xml:space="preserve">Flow builder</t>
  </si>
  <si>
    <t xml:space="preserve">Declarative clinic-configurable flows (collect/ask/branch/tool/handoff) run by a deterministic engine; tool steps use DAL allowlist; guardrails always apply; versioned; starter library ships</t>
  </si>
  <si>
    <t xml:space="preserve">Advanced rules</t>
  </si>
  <si>
    <t xml:space="preserve">Structured conditional rules (trigger/condition→enforced action) on top of always-injected text rules; safety-critical rules (payment-gate, after-hours, emergency-transfer) enforced deterministically at gates; tone = rule setting (resolves PR26/PR27)</t>
  </si>
  <si>
    <t xml:space="preserve">Secretary copilot</t>
  </si>
  <si>
    <t xml:space="preserve">Panel-side staff copilot: reply drafting, summarization, KB-answer surfacing, suggested actions; same LLM+KB; human-in-the-loop (approve/edit before send); never messages patients autonomously</t>
  </si>
  <si>
    <t xml:space="preserve">OCR ingestion</t>
  </si>
  <si>
    <t xml:space="preserve">Extend ingestion with provider-abstracted OCR (scanned PDFs/images) + docx/structured parsers; same chunk→embed→KB path; low-confidence OCR flagged for review; per-clinic</t>
  </si>
  <si>
    <t xml:space="preserve">Sheets/CRM export</t>
  </si>
  <si>
    <t xml:space="preserve">Outbound integration: Google Sheets append + generic webhook/CRM connector; per-clinic mapping + encrypted creds; event-triggered or scheduled; clinic-authorized fields only (PHI egress audited)</t>
  </si>
  <si>
    <t xml:space="preserve">Automated reports</t>
  </si>
  <si>
    <t xml:space="preserve">Reporting scheduler renders 2D analytics into periodic reports (PDF/email/Sheet) per-clinic cadence; reuses analytics rollups + email; clinic-scoped aggregates</t>
  </si>
  <si>
    <t xml:space="preserve">PWA</t>
  </si>
  <si>
    <t xml:space="preserve">Next.js panel (already responsive) gains PWA: installable, manifest, service worker (cache + push); native iOS/Android stays FI4; one codebase</t>
  </si>
  <si>
    <t xml:space="preserve">Push</t>
  </si>
  <si>
    <t xml:space="preserve">Web Push (VAPID) for PWA/browser wired into the notification/escalation ladder (1B/2A); per-user device subscriptions; preference-controlled; email fallback</t>
  </si>
  <si>
    <t xml:space="preserve">Mobile parity</t>
  </si>
  <si>
    <t xml:space="preserve">PWA exposes secretary daily-driver ops (view/reply, take control, bot pause/activate, patient details, appointments, confirm, alerts, notes) via responsive panel; deep admin stays desktop</t>
  </si>
  <si>
    <t xml:space="preserve">Panel i18n</t>
  </si>
  <si>
    <t xml:space="preserve">Closes PR21 GAP — Spanish + English panel i18n: i18n framework from the start (keys + per-user locale switch) across IA Studio + clinic panel, menus, statuses, alerts, reports; panel language independent of chatbot; ES+EN at launch</t>
  </si>
  <si>
    <t xml:space="preserve">gap-closure</t>
  </si>
  <si>
    <t xml:space="preserve">Chatbot i18n</t>
  </si>
  <si>
    <t xml:space="preserve">Closes PR22 (amends 1A) — Spanish + English chatbot: detect patient language, respond in it using only clinic-approved info; ES+EN at launch; further languages → FI</t>
  </si>
  <si>
    <t xml:space="preserve">Bot appt status</t>
  </si>
  <si>
    <t xml:space="preserve">Closes PR09 (amends 1C) — bot answers 'is my appointment confirmed?' by reading Calendar (not-found → human); reschedule/cancel DELIBERATELY stay human-routed for safety; bot-driven reschedule/cancel → FI7</t>
  </si>
  <si>
    <t xml:space="preserve">Retention</t>
  </si>
  <si>
    <t xml:space="preserve">Configurable per-clinic data retention w/ market-standard defaults (messages ~24mo, configurable 6–36mo; patient records while active), bounded by compliant floors; soft-delete → scheduled hard-purge cascade (messages/media/embeddings/exports, audited); right-to-erasure wired to opt-out chokepoint; GDPR storage-limitation + erasure baseline</t>
  </si>
  <si>
    <t xml:space="preserve">cross-cutting</t>
  </si>
  <si>
    <t xml:space="preserve">Observability</t>
  </si>
  <si>
    <t xml:space="preserve">Lean single-VPS platform monitoring: Sentry (errors/traces) + /health endpoint + external uptime/synthetic checks on critical path (webhook→reply) + Bull Board (queue health) + host metrics (Netdata/Grafana Agent) + alerting (VPS down/queue backlog/webhook failures/TLS expiry); distinct from 2D clinic-facing error review</t>
  </si>
  <si>
    <t xml:space="preserve">Compliance</t>
  </si>
  <si>
    <t xml:space="preserve">Design to GDPR-style baseline (explicit consent, sensitive/health-data handling, retention limits, erasure, breach response) — safe superset of current Guatemalan law (no comprehensive PDP law yet; Decree 57-2008 criminalizes commercializing personal data w/o consent; Health Code protects health data; Initiative 6,105 pending). Never commercialize patient data; written consent for any export (ties SEC24); local-counsel review before launch (X20)</t>
  </si>
  <si>
    <t xml:space="preserve">Date</t>
  </si>
  <si>
    <t xml:space="preserve">Ref</t>
  </si>
  <si>
    <t xml:space="preserve">Note</t>
  </si>
  <si>
    <t xml:space="preserve">2026-06-13</t>
  </si>
  <si>
    <t xml:space="preserve">Dev Plan</t>
  </si>
  <si>
    <t xml:space="preserve">Added two-agent development plan (Dev Plan tab + docmee-dev-plan.md + AGENTS.md + docmee-api-contract.yaml). Cut: Agent BE owns Core+Contract, Agent FE owns Experience; seam = packages/contracts (mock-first). Per-phase parallel tracks + integration checkpoints; CI-enforced import boundary; in-phase RLS + six-gate tests</t>
  </si>
  <si>
    <t xml:space="preserve">Build Backlog</t>
  </si>
  <si>
    <t xml:space="preserve">Added Build Backlog tab + docmee-build-backlog.md — sequenced from sealed plan: Sprint 0 (unblock Meta/counsel + SEC06) → Phase 0 → 1A–1C → Pilot launch gate → 2A–3D. Each stage carries its gates/gaps/actions/security. Two test layers (RLS, six-gate) flagged to build in-phase, not post-deploy</t>
  </si>
  <si>
    <t xml:space="preserve">Main confidence</t>
  </si>
  <si>
    <t xml:space="preserve">Added live Confidence section to Main dashboard (Phase 0→3D): total scored, average, lowest, and counts by tier (≥9 / 8.5 / 8.0 / &lt;8) via COUNTIF on the Decisions Index score column; flags the one sub-8 (2B identity merge 7.5) + the 8.0 watch list</t>
  </si>
  <si>
    <t xml:space="preserve">Cross-cutting locked</t>
  </si>
  <si>
    <t xml:space="preserve">Closed the 4 potential-misses: LOCKED retention/erasure (D62, configurable + GDPR baseline), platform observability (D63, lean single-VPS), GDPR-baseline compliance (D64, per Guatemala law check — Decree 57-2008 + Health Code + Initiative 6,105). Gaps G62–G63. Security SEC25. Testing/QA → action X19 (non-blocking, post-deploy). Legal counsel → action X20</t>
  </si>
  <si>
    <t xml:space="preserve">ALL 12 PHASES SEALED</t>
  </si>
  <si>
    <t xml:space="preserve">Broadcast locked = DEFERRED to FI8 (2C transactional-only). 2C sweep G57–G61 locked (timezone, confirm-reply, template-rejection, frequency-cap, failed-send idempotency). Formally sealed 2C,2D,3A,3B,3C,3D → all 12 phases sealed. Planning phase complete; next step is build. Decisions finalized — gates/actions remain for implementation</t>
  </si>
  <si>
    <t xml:space="preserve">Gap-closure locked</t>
  </si>
  <si>
    <t xml:space="preserve">Locked recommendations for the 3 requirement gaps — PR21 ES+EN panel i18n (8.5), PR22 ES+EN chatbot (8.5), PR09 bot appt-status query (8.5; reschedule/cancel stay human, bot-driven → FI7). PR21 GAP→Planned, PR22 Partial→Planned. Requirements Partial/Gap now 1 (PR09 by design). Added FI7</t>
  </si>
  <si>
    <t xml:space="preserve">3D Q1–Q3</t>
  </si>
  <si>
    <t xml:space="preserve">Mobile/PWA/Push locked — PWA delivery (8.5), Web Push/VAPID into notification ladder (8.5), mobile parity for secretary ops (8.5). Sweep G52–G56 locked. PR23 PWA path locked (native=FI4), PR24 push locked. No flags</t>
  </si>
  <si>
    <t xml:space="preserve">Roadmap complete</t>
  </si>
  <si>
    <t xml:space="preserve">All 12 phases now have decisions locked (0,1A,1B,1C,2A,2B,2C,2D,3A,3B,3C,3D). Remaining open: 2C Q5 broadcast (parked) + 3 requirement gaps (PR21 panel i18n, PR22 English chatbot, PR09 bot reschedule/cancel+status). Formal phase seals pending</t>
  </si>
  <si>
    <t xml:space="preserve">Gap inventory (all)</t>
  </si>
  <si>
    <t xml:space="preserve">Full gap log — Gaps tab holds G01–G51, all Locked/Resolved. By phase: P0/1A/1B/1C foundation+sweeps G01–G25 · 2A G26–G28 · 2B G29–G31 · 2D G32–G36 · 3A G37–G41 · 3B G42–G46 · 3C G47–G51. Requirement gaps tracked separately on Platform Requirements (remaining: PR21 panel i18n GAP, PR22 English chatbot, PR09 bot reschedule/cancel — all surfaced on Main)</t>
  </si>
  <si>
    <t xml:space="preserve">3C Q1–Q3</t>
  </si>
  <si>
    <t xml:space="preserve">Integrations &amp; OCR locked — OCR/rich-format ingestion (8.5), Sheets/CRM export (8.0), automated reports (8.5). Sweep G47–G51 locked. Added X18 (Sheets/CRM connect) + SEC24 (external data egress). PR25 Covered (OCR), PR31 export locked. No flags</t>
  </si>
  <si>
    <t xml:space="preserve">3B Q1–Q3</t>
  </si>
  <si>
    <t xml:space="preserve">Advanced Intake locked — declarative custom-flow builder (8.0), structured advanced rules w/ deterministic safety enforcement (8.5), human-in-the-loop secretary copilot (8.0). Sweep G42–G46 locked. Closed requirement gaps PR26/PR27/PR28 (Partial→Planned). No flags</t>
  </si>
  <si>
    <t xml:space="preserve">3A Q1–Q4</t>
  </si>
  <si>
    <t xml:space="preserve">Multi-Doctor locked — doctor entity/per-doctor config (8.5), doctor selection in intake (8.5), per-doctor KB scoping (8.5), per-doctor routing/visibility (8.0). Sweep G37–G41 locked. Added X17 (per-doctor calendar connect). Activates the P0 doctor seam; N=1 backward compatible. No flags</t>
  </si>
  <si>
    <t xml:space="preserve">2D Q1–Q3</t>
  </si>
  <si>
    <t xml:space="preserve">Analytics &amp; Search locked — metrics+QoS rollups (8.5), error review area (8.5), per-clinic full-text message search (8.5, resolves R12). Sweep G32–G36 locked. No flags. 2D decisions complete (formal seal alongside 2C)</t>
  </si>
  <si>
    <t xml:space="preserve">Q5 → pending</t>
  </si>
  <si>
    <t xml:space="preserve">Broadcast/marketing set to PENDING (parked) per user — not a blocker; transactional 2C unaffected; revisit before sealing 2C. Main KPI now 'Decisions parked (revisit)'</t>
  </si>
  <si>
    <t xml:space="preserve">Hide tabs (opt 2)</t>
  </si>
  <si>
    <t xml:space="preserve">Hid all sheets except Main per request — only the dashboard shows in the tab bar. Nav links replaced with a static tab directory + unhide instructions (Excel can't hyperlink to hidden sheets). To open a sheet: right-click Main tab ► Unhide</t>
  </si>
  <si>
    <t xml:space="preserve">Main dashboard</t>
  </si>
  <si>
    <t xml:space="preserve">Added Main home tab (first, opens by default) — live KPI cards (phases sealed, decisions, flagged, risks, security, requirements, hours, AI uses, cost), one-click navigation to every tab, and an open-items list. Improved both Gantts (0–26 week axis, gridlines, titles, thicker bars). Tabs kept visible so nav links work (hidden tabs can't be hyperlink targets without macros)</t>
  </si>
  <si>
    <t xml:space="preserve">Cost actuals</t>
  </si>
  <si>
    <t xml:space="preserve">Logged this session's AI-assisted work as ESTIMATES — 2C decisions (1.5 hrs / 6 uses) + cross-cutting PM/tracker line (3.5 hrs / 18 uses). Added PM row to cost table. Figures are estimates to be overwritten with real hours + real per-use cost</t>
  </si>
  <si>
    <t xml:space="preserve">Cost Tracker</t>
  </si>
  <si>
    <t xml:space="preserve">Added Cost Tracker tab — deliverables (12 phases) vs. weeks/est-hrs/actual-hrs, dev cost, AI-assistant uses + cost, live totals. Editable assumption inputs: dev rate $/hr, AI cost per use, hours/week. All costs are live formulas</t>
  </si>
  <si>
    <t xml:space="preserve">Charts + font</t>
  </si>
  <si>
    <t xml:space="preserve">Converted column bar chart to Gantt; added Requirements Gantt (PR01–PR32 mapped to delivering phase, plotted on the 26-week timeline); dark-styled all charts (dark plot area, light axis/title/legend text). Normalized to a single uniform light font across every tab for readability</t>
  </si>
  <si>
    <t xml:space="preserve">Dark mode</t>
  </si>
  <si>
    <t xml:space="preserve">Restyled workbook to dark theme — dark cell/page backgrounds, light text, darkened status/priority/coverage palettes, gridlines off, dark tabs</t>
  </si>
  <si>
    <t xml:space="preserve">Platform Reqs</t>
  </si>
  <si>
    <t xml:space="preserve">Added Platform Requirements tab (PR01–PR32) cross-checking the spec PDF vs our build. ~18 Covered, ~6 Partial, ~7 Planned, 1 Gap. Surfaced: panel i18n GAP (PR21), English chatbot deferred (PR22), bot reschedule/cancel + appt-status-query routed to humans (PR09)</t>
  </si>
  <si>
    <t xml:space="preserve">2C Q1–Q4</t>
  </si>
  <si>
    <t xml:space="preserve">Automation locked — templates+approval (8.5), six-gate proactive model (8.5), reminders/confirmations + cancellation-cascade subscriber (8.5), post-visit follow-ups via auto-completion hook (8.5). Q5 BROADCAST/marketing flagged for decision (defer / basic-in-2C / later). Added SEC23</t>
  </si>
  <si>
    <t xml:space="preserve">Overview fix</t>
  </si>
  <si>
    <t xml:space="preserve">Phase status table now lists ALL 12 phases (was bundling 2C–3D); fixed table/summary overlap; completed live counts (added Blocked/waiting, Phases-sealed, Security-open). Confirmed counts are live COUNTIF, recomputed each run</t>
  </si>
  <si>
    <t xml:space="preserve">Security Audit</t>
  </si>
  <si>
    <t xml:space="preserve">Added Security Audit tab (SEC01–SEC22) — cyber/app/database/infra/compliance concerns with details, blast radius, priority, recommended solution, status. 2 Critical, ~10 High; 5 items Open (SEC06 LLM-PHI, SEC14 backups, SEC16 PHI-in-logs, SEC18 rate-limit, SEC22 supply-chain)</t>
  </si>
  <si>
    <t xml:space="preserve">Pros/Cons desc</t>
  </si>
  <si>
    <t xml:space="preserve">Added a short Description column to Pros and Cons tabs (per-decision one-line summary)</t>
  </si>
  <si>
    <t xml:space="preserve">Decisions Index</t>
  </si>
  <si>
    <t xml:space="preserve">Added Score /10 + Flagged + 'Reason if &lt; 8' columns; sub-8 manually-approved decisions shown in RED with their as-presented score and the reason for the low rating (2B Identity merge 7.5)</t>
  </si>
  <si>
    <t xml:space="preserve">2B SEAL</t>
  </si>
  <si>
    <t xml:space="preserve">Phase 2B sealed — Q1 channels (8.5), Q3 unified inbox (8.0), Q2 cross-channel merge = MANUAL only (user decision; recorded as con D37 + improvement FI6) + sweep G29–G31. R11 mitigated. See phase-2b-channels-decisions.md</t>
  </si>
  <si>
    <t xml:space="preserve">2B Q1/Q3</t>
  </si>
  <si>
    <t xml:space="preserve">Channels locked — Messenger+IG via Meta Graph API behind channel abstraction (Q1, 8.5); unified cross-channel inbox + per-channel window rules (Q3, 8.0). Q2 cross-channel identity MERGE flagged (7.5 &lt;8) for decision (hybrid / manual-only / defer). Added X16 (per-clinic Messenger/IG connect)</t>
  </si>
  <si>
    <t xml:space="preserve">2A SEAL</t>
  </si>
  <si>
    <t xml:space="preserve">Phase 2A sealed — Q1 routing, Q2 notifications+escalation, Q3 quick replies, Q4 IA Studio+RBAC, Q5 manual invoicing + sweep G26–G28. All ≥8 confidence (auto-lock). FI5 added (automated billing). See phase-2a-multiuser-decisions.md</t>
  </si>
  <si>
    <t xml:space="preserve">2A Q2</t>
  </si>
  <si>
    <t xml:space="preserve">Notifications + escalation locked — P1–P4 differentiated behavior; configurable escalation ladder (ack stops it; resolves routed-but-unack); dedup; per-user prefs + quiet hours (P1 breaks through); panel + per-user email + basic web push (native → 3D/FI4)</t>
  </si>
  <si>
    <t xml:space="preserve">Progress tab</t>
  </si>
  <si>
    <t xml:space="preserve">Added Progress dashboard — phase Gantt (with progress shading), development-progress chart, deployment/external-actions chart, overall-project doughnut; live charts. Fixed Closed COUNTIF wildcard</t>
  </si>
  <si>
    <t xml:space="preserve">Pros/Cons tabs</t>
  </si>
  <si>
    <t xml:space="preserve">Added Pros and Cons tabs (D01–D30, all recorded decisions) with a Category column (Architecture/Security/Compliance/Deployment/Development/Product/AI/Data/Integration/Cost/Safety/Ops); reverted Future Improvements to FI1–FI4</t>
  </si>
  <si>
    <t xml:space="preserve">2A Q1</t>
  </si>
  <si>
    <t xml:space="preserve">Routing locked — optional per-clinic (shared-queue default / round-robin / load-based), presence-aware, on handoff + new conversation, never overrides explicit assignment, RBAC-gated. Tradeoffs (presence, load-count) recorded in Cons tab; routing×escalation overlap resolved in Q2</t>
  </si>
  <si>
    <t xml:space="preserve">1C SEAL</t>
  </si>
  <si>
    <t xml:space="preserve">Phase 1C sealed — Q1–Q3 + 7 sweep locks (G19–G25: calendar-outage handoff, double-write integrity, timezone read-back, reschedule-in-Docmee, booking guardrails, slot re-validate, booking horizon) + acceptance gate. See phase-1c-scheduling-decisions.md</t>
  </si>
  <si>
    <t xml:space="preserve">Gaps tab</t>
  </si>
  <si>
    <t xml:space="preserve">Added Gaps tab — all 25 sweep-surfaced gaps across Phases 0/1A/1B/1C (G01–G25); all locked (G24 resolved by Q2 re-validate-on-write)</t>
  </si>
  <si>
    <t xml:space="preserve">1C Q3</t>
  </si>
  <si>
    <t xml:space="preserve">Appointment lifecycle locked — states booked/confirmed/completed/cancelled/no-show + logged transitions; auto-completion sets state + 2C-bound hook; no-show manual; surfaced in profile+inbox; cancellation cascade mechanism built (reminders → 2C)</t>
  </si>
  <si>
    <t xml:space="preserve">1C Q2</t>
  </si>
  <si>
    <t xml:space="preserve">Scheduling agent + intake locked — 8-step resumable patient_intake (service/name/slot); resume + mid-intake digression; re-validate-on-write (re-offer if taken); bot owns booking, reschedule/cancel → humans in 1C</t>
  </si>
  <si>
    <t xml:space="preserve">1C Q1</t>
  </si>
  <si>
    <t xml:space="preserve">Calendar integration locked — Google Calendar = datetime truth + appointments row; availability = clinic schedule ∩ Google free/busy; Docmee primary writer; free/busy-at-booking + reconciliation. Live two-way sync FLAGGED as future improvement (FI1). Added X15 (per-clinic Calendar connect + availability config)</t>
  </si>
  <si>
    <t xml:space="preserve">1B SEAL</t>
  </si>
  <si>
    <t xml:space="preserve">Phase 1B sealed — Q1–Q4 + 5 sweep locks (backfill, patient timeline, bot-vs-bot precedence, assignment×mode, RBAC enforcement) + acceptance gate. See phase-1b-human-inbox-decisions.md</t>
  </si>
  <si>
    <t xml:space="preserve">1B Q4</t>
  </si>
  <si>
    <t xml:space="preserve">Notifications (1B slice) locked — handoff/distress→panel+email, new-lead→panel, priority-tagged, visible-until-acknowledged; ADDED clinic-level email configurability (recipients + per-event toggles); escalation/prefs/quiet-hours/push → 2A/3D</t>
  </si>
  <si>
    <t xml:space="preserve">1B Q3</t>
  </si>
  <si>
    <t xml:space="preserve">Patient data capture locked — bot extracts contact/CRM fields via tool-calling → validated DAL writes; confidence-gated (verified vs suggested); per-field source + secretary-edits-win. R13 added (extraction accuracy)</t>
  </si>
  <si>
    <t xml:space="preserve">1B Q2</t>
  </si>
  <si>
    <t xml:space="preserve">Inbox organization locked — shared queue + claim (routing→2A); tags + light patient status (no duplicate conversation-status); patient-level notes; filters + identity search; message-content search deferred (R12)</t>
  </si>
  <si>
    <t xml:space="preserve">1B Q1</t>
  </si>
  <si>
    <t xml:space="preserve">Patient model locked (auto-created, clinic-scoped, progressively enriched); built-in CRM = panel profile; R11 added (cross-channel dupes → 2B)</t>
  </si>
  <si>
    <t xml:space="preserve">1A SEAL</t>
  </si>
  <si>
    <t xml:space="preserve">Phase 1A sealed — Q1–Q3 + audio + deflection + 5 operational locks + acceptance gate</t>
  </si>
  <si>
    <t xml:space="preserve">1A Q3</t>
  </si>
  <si>
    <t xml:space="preserve">Inbox + bot-mode + self-healing handback; transcription as swappable block; Convocore not a transcription provider</t>
  </si>
  <si>
    <t xml:space="preserve">1A Q2</t>
  </si>
  <si>
    <t xml:space="preserve">Intent set; layered routing + gate ordering; booking→handoff; deflection safety; prompt assembly; auto-reply + 24h window (hold→resend→escalate)</t>
  </si>
  <si>
    <t xml:space="preserve">1A Q1</t>
  </si>
  <si>
    <t xml:space="preserve">KB content model + text-layer document ingestion; R9 added; X5/X11 updated</t>
  </si>
  <si>
    <t xml:space="preserve">Model A — Docmee-owned platform keys locked</t>
  </si>
  <si>
    <t xml:space="preserve">R10/X14</t>
  </si>
  <si>
    <t xml:space="preserve">Reduced to minimal deflection guardrail (booking-only clinics)</t>
  </si>
  <si>
    <t xml:space="preserve">0 SEAL</t>
  </si>
  <si>
    <t xml:space="preserve">Phase 0 sealed — 10 core + 2 sweep + 6 mechanism gaps + acceptance gate</t>
  </si>
  <si>
    <t xml:space="preserve">R8/X12</t>
  </si>
  <si>
    <t xml:space="preserve">Single-VPS SPOF; backups required before real patients</t>
  </si>
  <si>
    <t xml:space="preserve">Redundancy/HA parked (trigger: first real patients / SLA)</t>
  </si>
  <si>
    <t xml:space="preserve">R4/R5</t>
  </si>
  <si>
    <t xml:space="preserve">De-risked &amp; locked (separate stable HMAC key; withAdminContext guarded door)</t>
  </si>
  <si>
    <t xml:space="preserve">X2/X9/X10</t>
  </si>
  <si>
    <t xml:space="preserve">Evolution interim bridge adopted; R7 added</t>
  </si>
  <si>
    <t xml:space="preserve">Encryption key source closed (Supabase Vault + envelope + key_version)</t>
  </si>
  <si>
    <t xml:space="preserve">Init</t>
  </si>
  <si>
    <t xml:space="preserve">Trackers created</t>
  </si>
  <si>
    <t xml:space="preserve">Improvement</t>
  </si>
  <si>
    <t xml:space="preserve">Context / source</t>
  </si>
  <si>
    <t xml:space="preserve">Trigger — when to build</t>
  </si>
  <si>
    <t xml:space="preserve">FI1</t>
  </si>
  <si>
    <t xml:space="preserve">Real-time two-way Google Calendar sync (live push/webhook → update Docmee on external edits/deletes)</t>
  </si>
  <si>
    <t xml:space="preserve">Flagged at 1C Q1 (1C ships free/busy-at-booking + reconciliation only)</t>
  </si>
  <si>
    <t xml:space="preserve">Clinics heavily managing appointments directly in Google Calendar; post-1C release</t>
  </si>
  <si>
    <t xml:space="preserve">Calendar stays datetime source of truth; removes reconciliation lag</t>
  </si>
  <si>
    <t xml:space="preserve">FI2</t>
  </si>
  <si>
    <t xml:space="preserve">Self-hosted LLM (e.g., RunPod) for cost optimization</t>
  </si>
  <si>
    <t xml:space="preserve">Architecture future mode (rollout-3)</t>
  </si>
  <si>
    <t xml:space="preserve">When LLM spend justifies / data-residency push</t>
  </si>
  <si>
    <t xml:space="preserve">Gateway already provider-abstracted — swap, not rebuild</t>
  </si>
  <si>
    <t xml:space="preserve">FI3</t>
  </si>
  <si>
    <t xml:space="preserve">Commercial license control + self-hosted deployment (Ed25519 license server, Tauri installer, control plane)</t>
  </si>
  <si>
    <t xml:space="preserve">Architecture future modes</t>
  </si>
  <si>
    <t xml:space="preserve">When selling self-hosted / white-label installs</t>
  </si>
  <si>
    <t xml:space="preserve">Soft-enforcement contract still applies; placeholders only today</t>
  </si>
  <si>
    <t xml:space="preserve">FI4</t>
  </si>
  <si>
    <t xml:space="preserve">Native mobile app</t>
  </si>
  <si>
    <t xml:space="preserve">Architecture future (only if PWA insufficient)</t>
  </si>
  <si>
    <t xml:space="preserve">If PWA proves inadequate for clinics</t>
  </si>
  <si>
    <t xml:space="preserve">PWA + push is the planned 3D path first</t>
  </si>
  <si>
    <t xml:space="preserve">FI5</t>
  </si>
  <si>
    <t xml:space="preserve">Automated billing / payment gateway (e.g. Stripe) + dunning</t>
  </si>
  <si>
    <t xml:space="preserve">From 2A Q5 — 2A ships manual invoicing only</t>
  </si>
  <si>
    <t xml:space="preserve">When clinic count makes manual invoicing impractical</t>
  </si>
  <si>
    <t xml:space="preserve">Plan model already defined; this automates charge + collection</t>
  </si>
  <si>
    <t xml:space="preserve">FI6</t>
  </si>
  <si>
    <t xml:space="preserve">Smarter cross-channel identity merge (verified auto-link on strong signals + duplicate suggestions + reversible merge)</t>
  </si>
  <si>
    <t xml:space="preserve">From 2B Q2 — 2B ships manual merge only</t>
  </si>
  <si>
    <t xml:space="preserve">When cross-channel duplicates become common / a reliable signal source exists</t>
  </si>
  <si>
    <t xml:space="preserve">Reduces manual merge effort; must preserve PHI-mixing safety</t>
  </si>
  <si>
    <t xml:space="preserve">FI7</t>
  </si>
  <si>
    <t xml:space="preserve">Bot-driven reschedule / cancel via Calendar (guardrailed: confirmation + ownership checks + cancellation cascade)</t>
  </si>
  <si>
    <t xml:space="preserve">From PR09 gap-closure — bot does status-query now; reschedule/cancel stay human for safety</t>
  </si>
  <si>
    <t xml:space="preserve">Once bot reliability is proven and guardrails validated</t>
  </si>
  <si>
    <t xml:space="preserve">Spec wants bot reschedule/cancel; deferred deliberately — 1C routes these to humans</t>
  </si>
  <si>
    <t xml:space="preserve">FI8</t>
  </si>
  <si>
    <t xml:space="preserve">Broadcast / marketing campaigns (promotional messages to patient lists) with explicit marketing opt-in + marketing templates + frequency caps + number-reputation safeguards</t>
  </si>
  <si>
    <t xml:space="preserve">From 2C Q5 — 2C ships transactional-only</t>
  </si>
  <si>
    <t xml:space="preserve">When promotional outreach is needed and opt-in consent infra is in place</t>
  </si>
  <si>
    <t xml:space="preserve">Higher compliance/spam/number-ban risk — must be consent-gated + rate-limited</t>
  </si>
  <si>
    <t xml:space="preserve">Gap (surfaced in sweep)</t>
  </si>
  <si>
    <t xml:space="preserve">Resolution / decision</t>
  </si>
  <si>
    <t xml:space="preserve">G01</t>
  </si>
  <si>
    <t xml:space="preserve">Migration tooling unspecified (how migrations run)</t>
  </si>
  <si>
    <t xml:space="preserve">Raw numbered SQL + minimal forward-only runner + schema_migrations; transactional apply</t>
  </si>
  <si>
    <t xml:space="preserve">Locked</t>
  </si>
  <si>
    <t xml:space="preserve">G02</t>
  </si>
  <si>
    <t xml:space="preserve">RLS context chokepoint — how clinic context is ALWAYS set</t>
  </si>
  <si>
    <t xml:space="preserve">withClinicContext() helper; raw pool private to packages/db; API preHandler + worker wrapper; single audited admin path</t>
  </si>
  <si>
    <t xml:space="preserve">G03</t>
  </si>
  <si>
    <t xml:space="preserve">First clinic/admin bootstrap (chicken-and-egg; no public signup)</t>
  </si>
  <si>
    <t xml:space="preserve">Operator-run bootstrap seeds first platform admin (random pw, force-rotate); clinics via real create-clinic/invite-admin</t>
  </si>
  <si>
    <t xml:space="preserve">G04</t>
  </si>
  <si>
    <t xml:space="preserve">Health-check depth (what 'green' verifies)</t>
  </si>
  <si>
    <t xml:space="preserve">/health liveness + /health/ready (Postgres+Redis+Vault; external providers excluded; ~5s cache); gate uses readiness</t>
  </si>
  <si>
    <t xml:space="preserve">G05</t>
  </si>
  <si>
    <t xml:space="preserve">Secrets bootstrapping order (Vault circularity)</t>
  </si>
  <si>
    <t xml:space="preserve">Env = connection secrets only; master key fetched from Vault at boot; host-secret-store fallback; fail-fast to not-ready</t>
  </si>
  <si>
    <t xml:space="preserve">G06</t>
  </si>
  <si>
    <t xml:space="preserve">Webhook verification handshake (subscribe before messages)</t>
  </si>
  <si>
    <t xml:space="preserve">Meta GET verify-challenge (constant-time) + HMAC POST + Evolution adapter registration</t>
  </si>
  <si>
    <t xml:space="preserve">G07</t>
  </si>
  <si>
    <t xml:space="preserve">Deployment target undefined</t>
  </si>
  <si>
    <t xml:space="preserve">Single-VPS all-in-one for pilot; Supabase managed; redundancy → FI/X13</t>
  </si>
  <si>
    <t xml:space="preserve">G08</t>
  </si>
  <si>
    <t xml:space="preserve">Elevated-impersonation attribution seam</t>
  </si>
  <si>
    <t xml:space="preserve">Reserve nullable acted_by_platform_user_id now (empty in 0); behavior built 2A</t>
  </si>
  <si>
    <t xml:space="preserve">G09</t>
  </si>
  <si>
    <t xml:space="preserve">Conversation lifecycle (new vs continue)</t>
  </si>
  <si>
    <t xml:space="preserve">&gt;30 days → new conversation; resolved + inbound &lt;7 days → reopen in bot mode; history uses current conversation</t>
  </si>
  <si>
    <t xml:space="preserve">G10</t>
  </si>
  <si>
    <t xml:space="preserve">Bot disclosure to patient</t>
  </si>
  <si>
    <t xml:space="preserve">One-time lightweight disclosure in first bot reply of a new conversation; per-clinic, on by default</t>
  </si>
  <si>
    <t xml:space="preserve">G11</t>
  </si>
  <si>
    <t xml:space="preserve">Outbound length / WhatsApp formatting</t>
  </si>
  <si>
    <t xml:space="preserve">Brevity in answer contract + split &gt;4096 chars on paragraph boundaries (≤2–3 msgs); WhatsApp-supported formatting</t>
  </si>
  <si>
    <t xml:space="preserve">G12</t>
  </si>
  <si>
    <t xml:space="preserve">Embedding-job failure path</t>
  </si>
  <si>
    <t xml:space="preserve">Retry w/ backoff → mark chunk failed + flag doc 'ingestion incomplete' + log/DLQ; others unaffected</t>
  </si>
  <si>
    <t xml:space="preserve">G13</t>
  </si>
  <si>
    <t xml:space="preserve">Provider outage / rate-limit mid-message</t>
  </si>
  <si>
    <t xml:space="preserve">Bounded retries → fail-safe handoff + holding message; DeepSeek down → low-confidence fallback; embedding down → handoff</t>
  </si>
  <si>
    <t xml:space="preserve">G14</t>
  </si>
  <si>
    <t xml:space="preserve">patient_id backfill mechanics</t>
  </si>
  <si>
    <t xml:space="preserve">Forward-only resolve-or-create on inbound + one-time idempotent backfill grouping conversations by identity</t>
  </si>
  <si>
    <t xml:space="preserve">G15</t>
  </si>
  <si>
    <t xml:space="preserve">Patient timeline aggregation</t>
  </si>
  <si>
    <t xml:space="preserve">Profile = conversation-list + patient data/tags/notes; no merged cross-conversation message-stream (R12)</t>
  </si>
  <si>
    <t xml:space="preserve">G16</t>
  </si>
  <si>
    <t xml:space="preserve">Bot-vs-bot data correction over time</t>
  </si>
  <si>
    <t xml:space="preserve">Newest high-confidence bot capture updates older bot field; never overrides staff; precedence staff&gt;newest-bot&gt;older-bot&gt;suggested</t>
  </si>
  <si>
    <t xml:space="preserve">G17</t>
  </si>
  <si>
    <t xml:space="preserve">Assignment × bot-mode edges</t>
  </si>
  <si>
    <t xml:space="preserve">Assignment persists through resolve (last-owner); active queue = human/unresolved; reassign allowed</t>
  </si>
  <si>
    <t xml:space="preserve">G18</t>
  </si>
  <si>
    <t xml:space="preserve">RBAC enforcement in inbox/profile/notes</t>
  </si>
  <si>
    <t xml:space="preserve">Implements locked 5-role matrix at API/DAL (not UI-only); internal notes staff-roles-only</t>
  </si>
  <si>
    <t xml:space="preserve">G19</t>
  </si>
  <si>
    <t xml:space="preserve">Calendar OAuth failure / API outage mid-booking</t>
  </si>
  <si>
    <t xml:space="preserve">Fail-safe handoff + holding message; clinic alert + 'Calendar disconnected' state; bounded retry</t>
  </si>
  <si>
    <t xml:space="preserve">G20</t>
  </si>
  <si>
    <t xml:space="preserve">Double-write integrity (Calendar event vs appointments row)</t>
  </si>
  <si>
    <t xml:space="preserve">Write event first → row; on row-fail best-effort delete event → handoff; reconciliation backstop</t>
  </si>
  <si>
    <t xml:space="preserve">G21</t>
  </si>
  <si>
    <t xml:space="preserve">Timezone + relative-time correctness</t>
  </si>
  <si>
    <t xml:space="preserve">Clinic-local compute, UTC store, tz library for DST; read-back absolute local datetime at confirmation</t>
  </si>
  <si>
    <t xml:space="preserve">G22</t>
  </si>
  <si>
    <t xml:space="preserve">Reschedule/cancel-via-secretary mechanics</t>
  </si>
  <si>
    <t xml:space="preserve">Docmee canonical: secretary edits in Docmee → rewrites Google event + logs; direct-Calendar edits reconciled (FI1)</t>
  </si>
  <si>
    <t xml:space="preserve">G23</t>
  </si>
  <si>
    <t xml:space="preserve">Booking guardrails (opt-out / paused / after-hours)</t>
  </si>
  <si>
    <t xml:space="preserve">Booking not gated by opt-out (inbound-initiated); 2C reminders are (six-gate); after-hours OK; paused follows mode rules</t>
  </si>
  <si>
    <t xml:space="preserve">G24</t>
  </si>
  <si>
    <t xml:space="preserve">Slot-offer staleness</t>
  </si>
  <si>
    <t xml:space="preserve">Already handled by re-validate-availability-on-write (Q2)</t>
  </si>
  <si>
    <t xml:space="preserve">Resolved</t>
  </si>
  <si>
    <t xml:space="preserve">G25</t>
  </si>
  <si>
    <t xml:space="preserve">Booking horizon + past-time guard</t>
  </si>
  <si>
    <t xml:space="preserve">Configurable horizon (~60 days) + no-past-slots guard from availability computation</t>
  </si>
  <si>
    <t xml:space="preserve">G26</t>
  </si>
  <si>
    <t xml:space="preserve">Plan conversation-limit enforcement</t>
  </si>
  <si>
    <t xml:space="preserve">Soft-cap default: warn at threshold, keep serving (no mid-care cutoff), flag overage for billing; hard cutoff configurable</t>
  </si>
  <si>
    <t xml:space="preserve">G27</t>
  </si>
  <si>
    <t xml:space="preserve">Quick-reply variable safety</t>
  </si>
  <si>
    <t xml:space="preserve">Variables resolve server-side from current patient/conversation only; unresolved → blank, never guessed</t>
  </si>
  <si>
    <t xml:space="preserve">G28</t>
  </si>
  <si>
    <t xml:space="preserve">IA Studio impersonation safety</t>
  </si>
  <si>
    <t xml:space="preserve">Every impersonated action stamped acted_by_platform_user_id + audit log + time-boxed + platform-only</t>
  </si>
  <si>
    <t xml:space="preserve">G29</t>
  </si>
  <si>
    <t xml:space="preserve">Per-channel media/attachment differences</t>
  </si>
  <si>
    <t xml:space="preserve">Normalize supported types across channels; unsupported (IG story, sticker, etc.) → friendly notice or handoff</t>
  </si>
  <si>
    <t xml:space="preserve">G30</t>
  </si>
  <si>
    <t xml:space="preserve">Channel-specific re-engagement vs WhatsApp templates</t>
  </si>
  <si>
    <t xml:space="preserve">In-window replies normal; out-of-window proactive re-engagement (Messenger tags / IG / WA templates) → 2C; 2B follows locked hold-resend/escalate per channel</t>
  </si>
  <si>
    <t xml:space="preserve">G31</t>
  </si>
  <si>
    <t xml:space="preserve">Channel token/connection failure</t>
  </si>
  <si>
    <t xml:space="preserve">Mark channel disconnected + alert clinic + pause that channel's inbound + bounded retry (mirrors calendar/provider-outage pattern)</t>
  </si>
  <si>
    <t xml:space="preserve">G32</t>
  </si>
  <si>
    <t xml:space="preserve">Analytics timezone correctness</t>
  </si>
  <si>
    <t xml:space="preserve">Rollups bucket by clinic-local time (reuse locked tz handling); peak-hours/daily metrics per clinic timezone</t>
  </si>
  <si>
    <t xml:space="preserve">G33</t>
  </si>
  <si>
    <t xml:space="preserve">Metrics PHI-safety</t>
  </si>
  <si>
    <t xml:space="preserve">Aggregate tables store counts/derived flags only — no raw PHI; sentiment = derived label, not message text (ties SEC16)</t>
  </si>
  <si>
    <t xml:space="preserve">G34</t>
  </si>
  <si>
    <t xml:space="preserve">Search clinic isolation</t>
  </si>
  <si>
    <t xml:space="preserve">FTS strictly RLS-scoped per clinic; no cross-clinic results; queries audited (mirrors identity-search rule)</t>
  </si>
  <si>
    <t xml:space="preserve">G35</t>
  </si>
  <si>
    <t xml:space="preserve">Error-review action loop</t>
  </si>
  <si>
    <t xml:space="preserve">Unanswered/unknown-intent items become KB-entry suggestions; resolved items tracked so the same gap isn't re-surfaced</t>
  </si>
  <si>
    <t xml:space="preserve">G36</t>
  </si>
  <si>
    <t xml:space="preserve">Analytics query performance</t>
  </si>
  <si>
    <t xml:space="preserve">Precomputed rollups / materialized views + indexes; dashboards read aggregates, never heavy live scans of messages</t>
  </si>
  <si>
    <t xml:space="preserve">G37</t>
  </si>
  <si>
    <t xml:space="preserve">Single-doctor backward compatibility</t>
  </si>
  <si>
    <t xml:space="preserve">N=1 is the default; existing clinics unaffected; intake auto-skips doctor step; one implicit doctor owns current calendar/KB</t>
  </si>
  <si>
    <t xml:space="preserve">G38</t>
  </si>
  <si>
    <t xml:space="preserve">Per-doctor calendar connection lifecycle</t>
  </si>
  <si>
    <t xml:space="preserve">Each doctor's Google Calendar = separate connection (X17); disconnection handling mirrors per-clinic calendar/provider-outage pattern</t>
  </si>
  <si>
    <t xml:space="preserve">G39</t>
  </si>
  <si>
    <t xml:space="preserve">'Any-doctor' booking &amp; availability conflicts</t>
  </si>
  <si>
    <t xml:space="preserve">'Any available' books earliest across selected doctors; per-doctor no-double-book reuses calendar-truth; ties chosen doctor to the appointment</t>
  </si>
  <si>
    <t xml:space="preserve">G40</t>
  </si>
  <si>
    <t xml:space="preserve">Doctor deactivation / removal</t>
  </si>
  <si>
    <t xml:space="preserve">Deactivating a doctor: future appointments reassign or cancellation-cascade; KB chunks archived; bot stops offering that doctor; history retained</t>
  </si>
  <si>
    <t xml:space="preserve">G41</t>
  </si>
  <si>
    <t xml:space="preserve">Cross-doctor data isolation</t>
  </si>
  <si>
    <t xml:space="preserve">A doctor's prices/hours/FAQs never surface for another; retrieval filtered by selected doctor (mirrors clinic-isolation rule)</t>
  </si>
  <si>
    <t xml:space="preserve">G42</t>
  </si>
  <si>
    <t xml:space="preserve">Custom-flow validation</t>
  </si>
  <si>
    <t xml:space="preserve">Clinic flows validated before activation: required terminal states, no infinite loops, only allowlisted tools/actions, mandatory guardrails auto-injected</t>
  </si>
  <si>
    <t xml:space="preserve">G43</t>
  </si>
  <si>
    <t xml:space="preserve">Rule precedence / conflict resolution</t>
  </si>
  <si>
    <t xml:space="preserve">Deterministic ordering; safety rules outrank preference rules; explicit conflict handling so rules can't deadlock or contradict silently</t>
  </si>
  <si>
    <t xml:space="preserve">G44</t>
  </si>
  <si>
    <t xml:space="preserve">Safety-critical rule enforcement point</t>
  </si>
  <si>
    <t xml:space="preserve">Payment-gate, after-hours, emergency-transfer enforced deterministically at pipeline gates (not LLM discretion); ties to medical-safety D16</t>
  </si>
  <si>
    <t xml:space="preserve">G45</t>
  </si>
  <si>
    <t xml:space="preserve">Secretary-copilot guardrails</t>
  </si>
  <si>
    <t xml:space="preserve">Copilot output is draft-only, never auto-sent; KB-grounded; no cross-clinic PHI; suggestions audited</t>
  </si>
  <si>
    <t xml:space="preserve">G46</t>
  </si>
  <si>
    <t xml:space="preserve">Flow/rule versioning &amp; rollback</t>
  </si>
  <si>
    <t xml:space="preserve">Flows + rules versioned per clinic; bad flow can be rolled back; all changes audited</t>
  </si>
  <si>
    <t xml:space="preserve">G47</t>
  </si>
  <si>
    <t xml:space="preserve">OCR confidence / review</t>
  </si>
  <si>
    <t xml:space="preserve">Low-confidence OCR flagged for human review before entering the KB; never silently ingest garbage text</t>
  </si>
  <si>
    <t xml:space="preserve">G48</t>
  </si>
  <si>
    <t xml:space="preserve">External-export PHI safety &amp; consent</t>
  </si>
  <si>
    <t xml:space="preserve">Only clinic-authorized fields exported; per-clinic config; egress audited + revocable; logged (SEC24)</t>
  </si>
  <si>
    <t xml:space="preserve">G49</t>
  </si>
  <si>
    <t xml:space="preserve">Integration credential security</t>
  </si>
  <si>
    <t xml:space="preserve">Sheets/CRM OAuth tokens stored encrypted like Meta/Calendar tokens; rotation; per-clinic isolation</t>
  </si>
  <si>
    <t xml:space="preserve">G50</t>
  </si>
  <si>
    <t xml:space="preserve">Export/report idempotency &amp; retries</t>
  </si>
  <si>
    <t xml:space="preserve">No duplicate rows/reports on retry; bounded retry; failures surfaced in the error-review area</t>
  </si>
  <si>
    <t xml:space="preserve">G51</t>
  </si>
  <si>
    <t xml:space="preserve">Report PHI scoping</t>
  </si>
  <si>
    <t xml:space="preserve">Reports contain clinic-scoped data only; aggregates where possible; access-controlled delivery</t>
  </si>
  <si>
    <t xml:space="preserve">G52</t>
  </si>
  <si>
    <t xml:space="preserve">PWA offline behavior</t>
  </si>
  <si>
    <t xml:space="preserve">Offline shell + graceful degradation; never show stale-as-live; queued actions clearly marked; no silent send failures</t>
  </si>
  <si>
    <t xml:space="preserve">G53</t>
  </si>
  <si>
    <t xml:space="preserve">Push token lifecycle</t>
  </si>
  <si>
    <t xml:space="preserve">Subscriptions registered/refreshed/revoked per device; expired pruned; no push after logout</t>
  </si>
  <si>
    <t xml:space="preserve">G54</t>
  </si>
  <si>
    <t xml:space="preserve">iOS push limitations</t>
  </si>
  <si>
    <t xml:space="preserve">Detect unsupported; require installed PWA on iOS; fall back to email/badge; set expectations</t>
  </si>
  <si>
    <t xml:space="preserve">G55</t>
  </si>
  <si>
    <t xml:space="preserve">Push preferences / quiet hours</t>
  </si>
  <si>
    <t xml:space="preserve">Reuse notification prefs + quiet hours; don't push P3/P4 overnight unless urgent</t>
  </si>
  <si>
    <t xml:space="preserve">G56</t>
  </si>
  <si>
    <t xml:space="preserve">Mobile auth/session security</t>
  </si>
  <si>
    <t xml:space="preserve">Same RBAC + session security on mobile; per-device session handling; biometric optional via browser</t>
  </si>
  <si>
    <t xml:space="preserve">G57</t>
  </si>
  <si>
    <t xml:space="preserve">Automation timezone correctness</t>
  </si>
  <si>
    <t xml:space="preserve">Reminders/confirmations/follow-ups fire in clinic-local time (reuse locked tz handling)</t>
  </si>
  <si>
    <t xml:space="preserve">G58</t>
  </si>
  <si>
    <t xml:space="preserve">Confirm-reply handling</t>
  </si>
  <si>
    <t xml:space="preserve">Patient reply to a reminder parsed: confirm → confirmed; cancel/reschedule → route to humans (1C policy)</t>
  </si>
  <si>
    <t xml:space="preserve">G59</t>
  </si>
  <si>
    <t xml:space="preserve">Template-rejection handling</t>
  </si>
  <si>
    <t xml:space="preserve">Meta rejects a template → clinic alerted + any automation using it paused until fixed</t>
  </si>
  <si>
    <t xml:space="preserve">G60</t>
  </si>
  <si>
    <t xml:space="preserve">Frequency cap / anti-spam</t>
  </si>
  <si>
    <t xml:space="preserve">Per-patient frequency cap across automations so multi-appointment patients aren't flooded (gate 5)</t>
  </si>
  <si>
    <t xml:space="preserve">G61</t>
  </si>
  <si>
    <t xml:space="preserve">Failed proactive-send idempotency</t>
  </si>
  <si>
    <t xml:space="preserve">Bounded retry on send failure; provider_message_id dedup prevents double-sends</t>
  </si>
  <si>
    <t xml:space="preserve">G62</t>
  </si>
  <si>
    <t xml:space="preserve">Deletion / erasure cascade completeness</t>
  </si>
  <si>
    <t xml:space="preserve">Erasure purges messages, media, embeddings, and flags prior exports; audited; backup handling per retention policy — no orphaned PHI</t>
  </si>
  <si>
    <t xml:space="preserve">G63</t>
  </si>
  <si>
    <t xml:space="preserve">Consent capture for processing &amp; export</t>
  </si>
  <si>
    <t xml:space="preserve">Explicit consent recorded; any export requires consent (Decree 57-2008 criminalizes commercializing data w/o consent; ties SEC24); sensitive/health-data handled with care</t>
  </si>
  <si>
    <t xml:space="preserve">Category</t>
  </si>
  <si>
    <t xml:space="preserve">Decision</t>
  </si>
  <si>
    <t xml:space="preserve">Description</t>
  </si>
  <si>
    <t xml:space="preserve">Pros</t>
  </si>
  <si>
    <t xml:space="preserve">D01</t>
  </si>
  <si>
    <t xml:space="preserve">Security</t>
  </si>
  <si>
    <t xml:space="preserve">Background jobs run under per-clinic DB context; one audited admin path</t>
  </si>
  <si>
    <t xml:space="preserve">Tenant isolation enforced at the DB for background jobs (not just API); single audited admin path</t>
  </si>
  <si>
    <t xml:space="preserve">D02</t>
  </si>
  <si>
    <t xml:space="preserve">PHI encrypted at rest via app-layer envelope + rotating key</t>
  </si>
  <si>
    <t xml:space="preserve">PHI encrypted at rest; app-layer envelope; key rotation via key_version</t>
  </si>
  <si>
    <t xml:space="preserve">D03</t>
  </si>
  <si>
    <t xml:space="preserve">Platform admins and clinic users are separate identity systems</t>
  </si>
  <si>
    <t xml:space="preserve">Platform vs clinic users disjoint; clean privilege separation; impersonation audited</t>
  </si>
  <si>
    <t xml:space="preserve">D04</t>
  </si>
  <si>
    <t xml:space="preserve">Architecture</t>
  </si>
  <si>
    <t xml:space="preserve">Each user belongs to exactly one clinic (one-to-one)</t>
  </si>
  <si>
    <t xml:space="preserve">Simple one-to-one user↔clinic; RLS isolation absolute</t>
  </si>
  <si>
    <t xml:space="preserve">D05</t>
  </si>
  <si>
    <t xml:space="preserve">Opted-out patients suppressed at a single outbound chokepoint</t>
  </si>
  <si>
    <t xml:space="preserve">Compliance-grade outbound suppression at a single chokepoint; bot-irreversible</t>
  </si>
  <si>
    <t xml:space="preserve">D06</t>
  </si>
  <si>
    <t xml:space="preserve">Phase 0 builds pipes only — no automatic patient replies yet</t>
  </si>
  <si>
    <t xml:space="preserve">Phase 0 ships pipes only; no premature auto-replies; safe foundation</t>
  </si>
  <si>
    <t xml:space="preserve">D07</t>
  </si>
  <si>
    <t xml:space="preserve">Redelivered webhooks de-duplicated via unique provider message id</t>
  </si>
  <si>
    <t xml:space="preserve">Redelivered webhooks never double-process; exactly-once rows</t>
  </si>
  <si>
    <t xml:space="preserve">D08</t>
  </si>
  <si>
    <t xml:space="preserve">Deployment/Ops</t>
  </si>
  <si>
    <t xml:space="preserve">Single all-in-one VPS for the pilot; managed Supabase</t>
  </si>
  <si>
    <t xml:space="preserve">Single-VPS all-in-one — cheap, simple for the pilot</t>
  </si>
  <si>
    <t xml:space="preserve">D09</t>
  </si>
  <si>
    <t xml:space="preserve">Development</t>
  </si>
  <si>
    <t xml:space="preserve">Migrations, context wrapper, bootstrap, health, secrets, webhook handshake specified</t>
  </si>
  <si>
    <t xml:space="preserve">Migrations, context wrapper, bootstrap, health, secrets-boot, webhook handshake all specified — no ad-hoc gaps</t>
  </si>
  <si>
    <t xml:space="preserve">D10</t>
  </si>
  <si>
    <t xml:space="preserve">Unified KB (manual + docs); rules always injected; 0.70 retrieval</t>
  </si>
  <si>
    <t xml:space="preserve">Unified substrate (manual + docs); rules always-injected; grounded retrieval</t>
  </si>
  <si>
    <t xml:space="preserve">D11</t>
  </si>
  <si>
    <t xml:space="preserve">Ordered gate chain; reply needs a pipeline-issued decision token</t>
  </si>
  <si>
    <t xml:space="preserve">Structurally-enforced gate ordering; reply can't emit without a decision token; safe by construction</t>
  </si>
  <si>
    <t xml:space="preserve">D12</t>
  </si>
  <si>
    <t xml:space="preserve">AI/ML</t>
  </si>
  <si>
    <t xml:space="preserve">Deterministic prompt assembly with fail-safe truncation + cached prefix</t>
  </si>
  <si>
    <t xml:space="preserve">Deterministic assembly + fail-safe truncation; cacheable prefix (cost)</t>
  </si>
  <si>
    <t xml:space="preserve">D13</t>
  </si>
  <si>
    <t xml:space="preserve">Auto-reply within 24h; out-of-window hold→resend-once→escalate</t>
  </si>
  <si>
    <t xml:space="preserve">Compliant auto-reply; out-of-window hold→resend-once→escalate; never silent</t>
  </si>
  <si>
    <t xml:space="preserve">D14</t>
  </si>
  <si>
    <t xml:space="preserve">Product/UX</t>
  </si>
  <si>
    <t xml:space="preserve">Conversation modes + explicit takeover + self-healing handback</t>
  </si>
  <si>
    <t xml:space="preserve">Clean takeover/handback; self-healing (no stuck-in-human); never speaks unprompted</t>
  </si>
  <si>
    <t xml:space="preserve">D15</t>
  </si>
  <si>
    <t xml:space="preserve">Transcription is a swappable provider block (Deepgram default)</t>
  </si>
  <si>
    <t xml:space="preserve">Provider-abstracted transcription; fail→retype→handoff</t>
  </si>
  <si>
    <t xml:space="preserve">D16</t>
  </si>
  <si>
    <t xml:space="preserve">Minimal deflection guardrail for distress; clinics are booking-only</t>
  </si>
  <si>
    <t xml:space="preserve">Minimal deflection guardrail; deterministic pre-LLM gate; booking-only scope</t>
  </si>
  <si>
    <t xml:space="preserve">D17</t>
  </si>
  <si>
    <t xml:space="preserve">Cost/Business</t>
  </si>
  <si>
    <t xml:space="preserve">Docmee-owned platform API keys (Model A); clinics never supply keys</t>
  </si>
  <si>
    <t xml:space="preserve">Model A platform keys — zero clinic setup; matches plan billing; central rotation</t>
  </si>
  <si>
    <t xml:space="preserve">D18</t>
  </si>
  <si>
    <t xml:space="preserve">Data</t>
  </si>
  <si>
    <t xml:space="preserve">Patient auto-created on first contact, progressively enriched, clinic-scoped</t>
  </si>
  <si>
    <t xml:space="preserve">Zero-friction auto-create; progressive enrichment; clean patient vs intake split</t>
  </si>
  <si>
    <t xml:space="preserve">D19</t>
  </si>
  <si>
    <t xml:space="preserve">Built-in CRM is the panel profile + inbox; no external CRM needed</t>
  </si>
  <si>
    <t xml:space="preserve">Built-in CRM = the panel; no external CRM required; functional in 1B</t>
  </si>
  <si>
    <t xml:space="preserve">D20</t>
  </si>
  <si>
    <t xml:space="preserve">Shared queue + claim + auto-assign on takeover</t>
  </si>
  <si>
    <t xml:space="preserve">Shared-queue + claim fits small clinics; auto-assign-on-takeover</t>
  </si>
  <si>
    <t xml:space="preserve">D21</t>
  </si>
  <si>
    <t xml:space="preserve">Free-form tags + light patient status; mode covers conversation state</t>
  </si>
  <si>
    <t xml:space="preserve">Free-form tags + light patient status; no duplicate conversation-status (mode covers it)</t>
  </si>
  <si>
    <t xml:space="preserve">D22</t>
  </si>
  <si>
    <t xml:space="preserve">Patient-level internal staff notes, durable across conversations</t>
  </si>
  <si>
    <t xml:space="preserve">Patient-level notes give durable CRM continuity</t>
  </si>
  <si>
    <t xml:space="preserve">D23</t>
  </si>
  <si>
    <t xml:space="preserve">Filters + patient-identity search; message-content search deferred</t>
  </si>
  <si>
    <t xml:space="preserve">Structured filters + identity (HMAC) search</t>
  </si>
  <si>
    <t xml:space="preserve">D24</t>
  </si>
  <si>
    <t xml:space="preserve">Bot fills CRM fields via tool-calling; secretary edits win</t>
  </si>
  <si>
    <t xml:space="preserve">CRM self-populates; DAL-allowlisted; secretary-wins; source-tracked</t>
  </si>
  <si>
    <t xml:space="preserve">D25</t>
  </si>
  <si>
    <t xml:space="preserve">Ops</t>
  </si>
  <si>
    <t xml:space="preserve">First notifications — handoff/distress + new lead via panel/email</t>
  </si>
  <si>
    <t xml:space="preserve">Closes handoff-visibility loop; panel+email; clinic-level email config</t>
  </si>
  <si>
    <t xml:space="preserve">D26</t>
  </si>
  <si>
    <t xml:space="preserve">Backfill, timeline, precedence, assignment, and RBAC operational locks</t>
  </si>
  <si>
    <t xml:space="preserve">Backfill, timeline, bot-vs-bot precedence, assignment×mode, RBAC all pinned</t>
  </si>
  <si>
    <t xml:space="preserve">D27</t>
  </si>
  <si>
    <t xml:space="preserve">Integration</t>
  </si>
  <si>
    <t xml:space="preserve">Google Calendar datetime truth ∩ free/busy availability; no double-book</t>
  </si>
  <si>
    <t xml:space="preserve">No double-booking (schedule ∩ free/busy); clean source-of-truth split</t>
  </si>
  <si>
    <t xml:space="preserve">D28</t>
  </si>
  <si>
    <t xml:space="preserve">Resumable 8-step booking intake; re-validate slot on write</t>
  </si>
  <si>
    <t xml:space="preserve">Resumable intake survives messy WhatsApp; re-validate-on-write prevents double-book</t>
  </si>
  <si>
    <t xml:space="preserve">D29</t>
  </si>
  <si>
    <t xml:space="preserve">Appointment states + logged transitions + auto-completion hook for 2C</t>
  </si>
  <si>
    <t xml:space="preserve">Auditable lifecycle; auto-completion hook for 2C; cancellation cascade mechanism</t>
  </si>
  <si>
    <t xml:space="preserve">D30</t>
  </si>
  <si>
    <t xml:space="preserve">Optional presence-aware routing (shared-queue/round-robin/load-based)</t>
  </si>
  <si>
    <t xml:space="preserve">Scales inbox to multi-secretary; optional (shared-queue default); presence-aware; reuses locked invariants</t>
  </si>
  <si>
    <t xml:space="preserve">D31</t>
  </si>
  <si>
    <t xml:space="preserve">Full P1–P4 notifications + escalation ladder + quiet hours + push</t>
  </si>
  <si>
    <t xml:space="preserve">Completes 1B seam w/o rework; escalation ladder = can't-be-ignored safety net (closes routed-but-unack); dedup prevents alert fatigue; per-user prefs + push = real multi-user tool</t>
  </si>
  <si>
    <t xml:space="preserve">D32</t>
  </si>
  <si>
    <t xml:space="preserve">Canned responses with variables, secretary-inserted, never auto-sent</t>
  </si>
  <si>
    <t xml:space="preserve">Speeds + standardizes secretary replies; variables reduce typing; reuses outbound chokepoint</t>
  </si>
  <si>
    <t xml:space="preserve">D33</t>
  </si>
  <si>
    <t xml:space="preserve">Platform-admin surface + full role-based panel access</t>
  </si>
  <si>
    <t xml:space="preserve">Completes admin + RBAC seams; central clinic/plan/provider management; impersonation auditable</t>
  </si>
  <si>
    <t xml:space="preserve">D34</t>
  </si>
  <si>
    <t xml:space="preserve">Manual subscription invoicing (no payment gateway yet)</t>
  </si>
  <si>
    <t xml:space="preserve">Charge clinics without building full billing; simple + fast</t>
  </si>
  <si>
    <t xml:space="preserve">D35</t>
  </si>
  <si>
    <t xml:space="preserve">Adds Messenger + Instagram via official Meta Graph API</t>
  </si>
  <si>
    <t xml:space="preserve">Channel abstraction already built for this; pipeline channel-agnostic; official Meta APIs (no Evolution for Messenger/IG); reuses chokepoint + idempotency</t>
  </si>
  <si>
    <t xml:space="preserve">D36</t>
  </si>
  <si>
    <t xml:space="preserve">All channels in one inbox; per-channel messaging-window rules</t>
  </si>
  <si>
    <t xml:space="preserve">Unified staff experience; reuses channel-agnostic inbox/pipeline; window rules localized to outbound</t>
  </si>
  <si>
    <t xml:space="preserve">D37</t>
  </si>
  <si>
    <t xml:space="preserve">Manual cross-channel patient merge by staff (no auto-merge)</t>
  </si>
  <si>
    <t xml:space="preserve">Resolves cross-channel dupes via deliberate staff action; avoids PHI-mixing risk of auto-merge; audited</t>
  </si>
  <si>
    <t xml:space="preserve">D38</t>
  </si>
  <si>
    <t xml:space="preserve">Clinic message templates with Meta approval lifecycle</t>
  </si>
  <si>
    <t xml:space="preserve">Enables compliant out-of-window proactive messaging; tracked approval lifecycle; versioned + variables</t>
  </si>
  <si>
    <t xml:space="preserve">D39</t>
  </si>
  <si>
    <t xml:space="preserve">Six-gate compliance check before any proactive message</t>
  </si>
  <si>
    <t xml:space="preserve">Compliance-grade proactive messaging; reuses opt-out chokepoint; cancellation cascade plugs into gate 4</t>
  </si>
  <si>
    <t xml:space="preserve">D40</t>
  </si>
  <si>
    <t xml:space="preserve">Scheduled reminders/confirmations; cancellation kills queued jobs</t>
  </si>
  <si>
    <t xml:space="preserve">Drives confirmations + reduces no-shows; cancellation cascade finally gets a subscriber; reuses BullMQ delayed jobs</t>
  </si>
  <si>
    <t xml:space="preserve">D41</t>
  </si>
  <si>
    <t xml:space="preserve">Post-visit follow-ups subscribing to the completion hook</t>
  </si>
  <si>
    <t xml:space="preserve">Completes 1C auto-completion seam; drives re-engagement/reviews; per-clinic configurable</t>
  </si>
  <si>
    <t xml:space="preserve">D42</t>
  </si>
  <si>
    <t xml:space="preserve">Metrics &amp; QoS via per-clinic rollup tables</t>
  </si>
  <si>
    <t xml:space="preserve">Actionable metrics for clinics + platform; rollups keep queries fast; per-clinic isolated</t>
  </si>
  <si>
    <t xml:space="preserve">D43</t>
  </si>
  <si>
    <t xml:space="preserve">Error/review queue with KB-improvement loop</t>
  </si>
  <si>
    <t xml:space="preserve">Closes the quality loop (failures → KB/agent fixes); central visibility of bot/agent/API errors</t>
  </si>
  <si>
    <t xml:space="preserve">D44</t>
  </si>
  <si>
    <t xml:space="preserve">Per-clinic full-text message search (resolves R12)</t>
  </si>
  <si>
    <t xml:space="preserve">Staff can find past messages; tsvector is cheap + built-in; per-clinic RLS contains PHI</t>
  </si>
  <si>
    <t xml:space="preserve">D45</t>
  </si>
  <si>
    <t xml:space="preserve">Multi-doctor entity: per-doctor calendar/services/hours/FAQs</t>
  </si>
  <si>
    <t xml:space="preserve">Reuses P0 seam + calendar integration per doctor; backward compatible (N=1); profile-vs-user split is flexible</t>
  </si>
  <si>
    <t xml:space="preserve">D46</t>
  </si>
  <si>
    <t xml:space="preserve">Doctor-selection step added to the booking intake</t>
  </si>
  <si>
    <t xml:space="preserve">Natural extension of locked intake; specialty routing + 'any available' convenience</t>
  </si>
  <si>
    <t xml:space="preserve">D47</t>
  </si>
  <si>
    <t xml:space="preserve">Doctor-aware KB retrieval with cross-doctor isolation</t>
  </si>
  <si>
    <t xml:space="preserve">Accurate per-doctor answers; reuses unified KB + retrieval; strict isolation</t>
  </si>
  <si>
    <t xml:space="preserve">D48</t>
  </si>
  <si>
    <t xml:space="preserve">Per-doctor conversation/appointment routing &amp; visibility</t>
  </si>
  <si>
    <t xml:space="preserve">Reuses 2A routing/RBAC; doctor visibility + per-doctor inbox filtering</t>
  </si>
  <si>
    <t xml:space="preserve">D49</t>
  </si>
  <si>
    <t xml:space="preserve">Declarative custom-flow builder + engine</t>
  </si>
  <si>
    <t xml:space="preserve">Huge flexibility without code; reuses intake engine + DAL allowlist + guardrails; per-clinic + versioned</t>
  </si>
  <si>
    <t xml:space="preserve">D50</t>
  </si>
  <si>
    <t xml:space="preserve">Structured conditional rules; deterministic safety enforcement</t>
  </si>
  <si>
    <t xml:space="preserve">Makes safety-critical rules deterministic (not LLM-trusted); resolves PR26/PR27; per-clinic</t>
  </si>
  <si>
    <t xml:space="preserve">D51</t>
  </si>
  <si>
    <t xml:space="preserve">Human-in-the-loop secretary copilot in the panel</t>
  </si>
  <si>
    <t xml:space="preserve">Productivity for staff; reuses LLM+KB; human-approved (safe)</t>
  </si>
  <si>
    <t xml:space="preserve">D52</t>
  </si>
  <si>
    <t xml:space="preserve">OCR + rich-format document ingestion into the KB</t>
  </si>
  <si>
    <t xml:space="preserve">Unlocks scanned clinic docs; reuses ingestion+embedding; provider-abstracted OCR (swappable)</t>
  </si>
  <si>
    <t xml:space="preserve">D53</t>
  </si>
  <si>
    <t xml:space="preserve">Outbound Sheets/CRM export of lead/patient data</t>
  </si>
  <si>
    <t xml:space="preserve">Clinic data portability; reuses event stream; generic webhook = many CRMs</t>
  </si>
  <si>
    <t xml:space="preserve">D54</t>
  </si>
  <si>
    <t xml:space="preserve">Scheduled automated reports from 2D analytics</t>
  </si>
  <si>
    <t xml:space="preserve">Hands-off clinic reporting; reuses 2D analytics + email; configurable cadence</t>
  </si>
  <si>
    <t xml:space="preserve">D55</t>
  </si>
  <si>
    <t xml:space="preserve">PWA delivery of the panel (installable, service worker)</t>
  </si>
  <si>
    <t xml:space="preserve">One codebase (no native maintenance); installable + push without app stores; reuses panel</t>
  </si>
  <si>
    <t xml:space="preserve">D56</t>
  </si>
  <si>
    <t xml:space="preserve">Web Push (VAPID) alerts wired into the notification ladder</t>
  </si>
  <si>
    <t xml:space="preserve">Real-time mobile alerts; standards-based (VAPID); reuses notification ladder</t>
  </si>
  <si>
    <t xml:space="preserve">D57</t>
  </si>
  <si>
    <t xml:space="preserve">Mobile parity for secretary daily-driver operations</t>
  </si>
  <si>
    <t xml:space="preserve">Secretaries get a real mobile daily-driver; no separate reduced app to maintain</t>
  </si>
  <si>
    <t xml:space="preserve">D58</t>
  </si>
  <si>
    <t xml:space="preserve">Spanish+English panel internationalization (closes PR21)</t>
  </si>
  <si>
    <t xml:space="preserve">Meets spec PR21; framework-first avoids a painful retrofit; per-user locale switch</t>
  </si>
  <si>
    <t xml:space="preserve">D59</t>
  </si>
  <si>
    <t xml:space="preserve">Spanish+English patient-facing chatbot (closes PR22)</t>
  </si>
  <si>
    <t xml:space="preserve">Meets spec PR22; cheap with the LLM (detection + prompt); grounded per clinic KB</t>
  </si>
  <si>
    <t xml:space="preserve">D60</t>
  </si>
  <si>
    <t xml:space="preserve">Bot appointment-status query; reschedule/cancel kept human (closes PR09, FI7)</t>
  </si>
  <si>
    <t xml:space="preserve">Bot handles low-risk status queries (spec PR09); reschedule/cancel stay human = safer; clear escalation</t>
  </si>
  <si>
    <t xml:space="preserve">D61</t>
  </si>
  <si>
    <t xml:space="preserve">Broadcast/marketing deferred to FI8 (2C transactional-only)</t>
  </si>
  <si>
    <t xml:space="preserve">Avoids spam/number-reputation risk; keeps 2C focused on transactional; opt-in path preserved via FI8</t>
  </si>
  <si>
    <t xml:space="preserve">D62</t>
  </si>
  <si>
    <t xml:space="preserve">Configurable patient-data retention + right-to-erasure cascade</t>
  </si>
  <si>
    <t xml:space="preserve">Market-standard configurable retention + erasure; not a medical record so shorter retention defensible; reuses encryption/RLS spine</t>
  </si>
  <si>
    <t xml:space="preserve">D63</t>
  </si>
  <si>
    <t xml:space="preserve">Lean single-VPS platform observability + alerting</t>
  </si>
  <si>
    <t xml:space="preserve">Catches platform failures fast (errors, queue backlog, downtime, cert expiry); lean + cheap for single-VPS</t>
  </si>
  <si>
    <t xml:space="preserve">D64</t>
  </si>
  <si>
    <t xml:space="preserve">GDPR-baseline compliance (Guatemala law + Initiative 6,105)</t>
  </si>
  <si>
    <t xml:space="preserve">GDPR baseline satisfies current Guatemalan criminal/consent rules + future-proofs for Initiative 6,105; reinforces export-consent</t>
  </si>
  <si>
    <t xml:space="preserve">Cons / tradeoffs</t>
  </si>
  <si>
    <t xml:space="preserve">Every worker must set clinic context — mitigated by withClinicContext() wrapper + lint</t>
  </si>
  <si>
    <t xml:space="preserve">Encrypted fields not SQL-searchable → HMAC lookup keys needed (R4)</t>
  </si>
  <si>
    <t xml:space="preserve">Two identity systems to maintain</t>
  </si>
  <si>
    <t xml:space="preserve">Won't fit clinic-group customers without a migration (R6)</t>
  </si>
  <si>
    <t xml:space="preserve">Opt-out must be checked on every outbound (enforced structurally)</t>
  </si>
  <si>
    <t xml:space="preserve">No user-visible behavior in Phase 0 (acceptable — foundation)</t>
  </si>
  <si>
    <t xml:space="preserve">Requires provider_message_id uniqueness handling</t>
  </si>
  <si>
    <t xml:space="preserve">Single point of failure (R8); redundancy deferred (X13)</t>
  </si>
  <si>
    <t xml:space="preserve">More upfront plumbing before features</t>
  </si>
  <si>
    <t xml:space="preserve">Document ingestion expands 1A scope (R9 — top schedule risk)</t>
  </si>
  <si>
    <t xml:space="preserve">Single-entry discipline adds indirection</t>
  </si>
  <si>
    <t xml:space="preserve">Truncation edge handling adds complexity</t>
  </si>
  <si>
    <t xml:space="preserve">TTL tuning; held replies can go stale (mitigated by escalate)</t>
  </si>
  <si>
    <t xml:space="preserve">Thin inbox in 1A; full features deferred to 1B</t>
  </si>
  <si>
    <t xml:space="preserve">Abstraction is extra (built lean, Deepgram first); extraction imperfect</t>
  </si>
  <si>
    <t xml:space="preserve">Not clinical triage (by design); needs clinic wording sign-off (X14)</t>
  </si>
  <si>
    <t xml:space="preserve">Docmee bears LLM cost/usage exposure; BYOK deferred</t>
  </si>
  <si>
    <t xml:space="preserve">patient_id backfill onto 1A conversations; cross-channel dupes (R11)</t>
  </si>
  <si>
    <t xml:space="preserve">Advanced CRM polish deferred (2A/2C)</t>
  </si>
  <si>
    <t xml:space="preserve">No auto-routing in 1B (→2A)</t>
  </si>
  <si>
    <t xml:space="preserve">Patient-status taxonomy needs clinic defaults</t>
  </si>
  <si>
    <t xml:space="preserve">Conversation-level notes secondary in 1B</t>
  </si>
  <si>
    <t xml:space="preserve">No message-content search (encryption limit, R12 → ~2D)</t>
  </si>
  <si>
    <t xml:space="preserve">Extraction imperfect (R13); confirmation turns add friction</t>
  </si>
  <si>
    <t xml:space="preserve">No escalation/preferences/quiet-hours in 1B (→2A)</t>
  </si>
  <si>
    <t xml:space="preserve">Patient timeline = conversation-list (no merged stream) in 1B</t>
  </si>
  <si>
    <t xml:space="preserve">Live two-way sync deferred (FI1); per-clinic OAuth setup; free/busy API calls</t>
  </si>
  <si>
    <t xml:space="preserve">No slot-hold (re-pick on busy calendars); reschedule/cancel → humans in 1C</t>
  </si>
  <si>
    <t xml:space="preserve">confirmed/no-show partly dormant until 2C; completion hook has no subscriber yet</t>
  </si>
  <si>
    <t xml:space="preserve">Presence is net-new (minimal in 2A); load-based needs a live open-assigned count</t>
  </si>
  <si>
    <t xml:space="preserve">Heaviest 2A feature (many moving parts); web push net-new infra (service worker/VAPID); escalation timings need per-clinic tuning</t>
  </si>
  <si>
    <t xml:space="preserve">Template-management UI + variable system to build; variable safety needs care (G27)</t>
  </si>
  <si>
    <t xml:space="preserve">Sizable admin surface; RBAC must be enforced at data layer + tested across surfaces</t>
  </si>
  <si>
    <t xml:space="preserve">Manual effort; no automated dunning/payment (→ FI5)</t>
  </si>
  <si>
    <t xml:space="preserve">Per-channel quirks (windows, attachments, IG rules); per-clinic Meta connection setup</t>
  </si>
  <si>
    <t xml:space="preserve">Per-channel window/re-engagement differences add conditional logic (IG/Messenger tags vs WhatsApp templates)</t>
  </si>
  <si>
    <t xml:space="preserve">Manual effort; no auto-suggestions so dupes can persist unnoticed; single cross-channel view only when staff act; smarter/reversible merge deferred → FI6</t>
  </si>
  <si>
    <t xml:space="preserve">Meta approval latency/rejection (clinic-owned R2/X4); per-channel divergence (templates vs message tags); template-management UI</t>
  </si>
  <si>
    <t xml:space="preserve">Six conditions add complexity; frequency-cap tuning; transactional-only scope (marketing separate)</t>
  </si>
  <si>
    <t xml:space="preserve">Job scheduling + cancellation coordination; reschedule must move jobs; confirm-reply parsing</t>
  </si>
  <si>
    <t xml:space="preserve">Follow-up templates need approval; timing tuning; another automation surface</t>
  </si>
  <si>
    <t xml:space="preserve">Aggregation jobs to build/maintain; sentiment/upset detection imperfect; dashboards to design</t>
  </si>
  <si>
    <t xml:space="preserve">Another review surface; needs triage workflow; false-positive 'bad response' flags</t>
  </si>
  <si>
    <t xml:space="preserve">Lexical only (no semantic) until FI; index maintenance; PHI exposure must stay clinic-scoped</t>
  </si>
  <si>
    <t xml:space="preserve">KB scoping (clinic vs doctor) complexity; each doctor connects own calendar; more config surface</t>
  </si>
  <si>
    <t xml:space="preserve">Intake step count grows; ambiguity when patient unsure; multi-calendar availability logic</t>
  </si>
  <si>
    <t xml:space="preserve">Chunk tagging by doctor; retrieval scoping; pre-selection ambiguity handling</t>
  </si>
  <si>
    <t xml:space="preserve">Optional per-doctor staffing config; routing complexity</t>
  </si>
  <si>
    <t xml:space="preserve">Builder UX complexity; validating clinic-authored flows; execution determinism</t>
  </si>
  <si>
    <t xml:space="preserve">Rule-engine complexity; condition language; precedence/conflict resolution</t>
  </si>
  <si>
    <t xml:space="preserve">Another LLM surface (cost); UX integration; scope-creep risk</t>
  </si>
  <si>
    <t xml:space="preserve">OCR cost+accuracy; table/layout extraction hard; low-confidence review step</t>
  </si>
  <si>
    <t xml:space="preserve">Per-clinic creds (X18); PHI egress (consent/security, SEC24); mapping config; external API reliability</t>
  </si>
  <si>
    <t xml:space="preserve">Report rendering/templating; scheduling; PHI scoping (aggregates/clinic-scoped only)</t>
  </si>
  <si>
    <t xml:space="preserve">iOS PWA caveats; no deep native integration; no app-store presence (native = FI4)</t>
  </si>
  <si>
    <t xml:space="preserve">iOS push caveats; subscription/token management; best-effort delivery</t>
  </si>
  <si>
    <t xml:space="preserve">Responsive layout work for dense views; deep admin still desktop-first</t>
  </si>
  <si>
    <t xml:space="preserve">Translation upkeep for every new string; QA in two locales</t>
  </si>
  <si>
    <t xml:space="preserve">EN answers need EN KB content or translation; language-detection edge cases</t>
  </si>
  <si>
    <t xml:space="preserve">Spec also wanted bot reschedule/cancel — deferred to FI7 (partial vs spec)</t>
  </si>
  <si>
    <t xml:space="preserve">No promotional outreach in v1; clinics wanting campaigns wait for FI8</t>
  </si>
  <si>
    <t xml:space="preserve">Cascade purge must be complete (messages/media/embeddings/exports); backup-purge coordination; per-clinic bounds to police</t>
  </si>
  <si>
    <t xml:space="preserve">Another stack to run/pay for; alert tuning to avoid noise; separate from clinic-facing error review</t>
  </si>
  <si>
    <t xml:space="preserve">Local-counsel confirmation still required; consent UX work; ongoing law-change monitoring</t>
  </si>
  <si>
    <t xml:space="preserve">Docmee — Progress Dashboard</t>
  </si>
  <si>
    <t xml:space="preserve">Indicative 26-week (6-month) plan · phase %s reflect sealed/in-progress status · charts are live</t>
  </si>
  <si>
    <t xml:space="preserve">Start (wk)</t>
  </si>
  <si>
    <t xml:space="preserve">Duration (wk)</t>
  </si>
  <si>
    <t xml:space="preserve">End (wk)</t>
  </si>
  <si>
    <t xml:space="preserve">% Complete</t>
  </si>
  <si>
    <t xml:space="preserve">Done (wk)</t>
  </si>
  <si>
    <t xml:space="preserve">Remaining (wk)</t>
  </si>
  <si>
    <t xml:space="preserve">1A — Core Bot</t>
  </si>
  <si>
    <t xml:space="preserve">1B — Human Inbox</t>
  </si>
  <si>
    <t xml:space="preserve">2A — Multi-User Ops</t>
  </si>
  <si>
    <t xml:space="preserve">2C — Automation</t>
  </si>
  <si>
    <t xml:space="preserve">2D — Analytics/Search</t>
  </si>
  <si>
    <t xml:space="preserve">3B — Adv. Intake</t>
  </si>
  <si>
    <t xml:space="preserve">3C — Integrations/OCR</t>
  </si>
  <si>
    <t xml:space="preserve">3D — Mobile/PWA/Push</t>
  </si>
  <si>
    <t xml:space="preserve">Deployment / external actions (from Action Tracker)</t>
  </si>
  <si>
    <t xml:space="preserve">Closed (done)</t>
  </si>
  <si>
    <t xml:space="preserve">Overall project — phases</t>
  </si>
  <si>
    <t xml:space="preserve">Overall % complete</t>
  </si>
  <si>
    <t xml:space="preserve">Requirements delivery schedule (source for Requirements Gantt)</t>
  </si>
  <si>
    <t xml:space="preserve">Requirement</t>
  </si>
  <si>
    <t xml:space="preserve">Delivered (wk)</t>
  </si>
  <si>
    <t xml:space="preserve">PR01 IA Studio</t>
  </si>
  <si>
    <t xml:space="preserve">PR02 Clinic Panel</t>
  </si>
  <si>
    <t xml:space="preserve">PR03 Channels</t>
  </si>
  <si>
    <t xml:space="preserve">PR04 Unified Inbox</t>
  </si>
  <si>
    <t xml:space="preserve">PR05 Bot/Human Mode</t>
  </si>
  <si>
    <t xml:space="preserve">PR06 No-Interrupt</t>
  </si>
  <si>
    <t xml:space="preserve">PR07 KB</t>
  </si>
  <si>
    <t xml:space="preserve">PR08 Audio</t>
  </si>
  <si>
    <t xml:space="preserve">PR09 Calendar</t>
  </si>
  <si>
    <t xml:space="preserve">PR10 Data Capture</t>
  </si>
  <si>
    <t xml:space="preserve">PR11 Tags/Status</t>
  </si>
  <si>
    <t xml:space="preserve">PR12 Assignment</t>
  </si>
  <si>
    <t xml:space="preserve">PR13 Notes</t>
  </si>
  <si>
    <t xml:space="preserve">PR14 Reminders</t>
  </si>
  <si>
    <t xml:space="preserve">PR15 Quick Replies</t>
  </si>
  <si>
    <t xml:space="preserve">PR16 History</t>
  </si>
  <si>
    <t xml:space="preserve">PR17 Metrics</t>
  </si>
  <si>
    <t xml:space="preserve">PR18 Alerts</t>
  </si>
  <si>
    <t xml:space="preserve">PR19 Meta Compliance</t>
  </si>
  <si>
    <t xml:space="preserve">PR20 Safety Rules</t>
  </si>
  <si>
    <t xml:space="preserve">PR21 Panel i18n (gap)</t>
  </si>
  <si>
    <t xml:space="preserve">PR22 EN Chatbot (partial)</t>
  </si>
  <si>
    <t xml:space="preserve">PR23 Mobile App</t>
  </si>
  <si>
    <t xml:space="preserve">PR24 Notifications</t>
  </si>
  <si>
    <t xml:space="preserve">PR25 Doc Training</t>
  </si>
  <si>
    <t xml:space="preserve">PR26 Tone Control</t>
  </si>
  <si>
    <t xml:space="preserve">PR27 Clinic Rules</t>
  </si>
  <si>
    <t xml:space="preserve">PR28 Custom Flows</t>
  </si>
  <si>
    <t xml:space="preserve">PR29 Error Review</t>
  </si>
  <si>
    <t xml:space="preserve">PR30 Multi-Doctor</t>
  </si>
  <si>
    <t xml:space="preserve">PR31 Sheets/CRM</t>
  </si>
  <si>
    <t xml:space="preserve">PR32 QoS</t>
  </si>
  <si>
    <t xml:space="preserve">Concern</t>
  </si>
  <si>
    <t xml:space="preserve">Details</t>
  </si>
  <si>
    <t xml:space="preserve">Blast radius</t>
  </si>
  <si>
    <t xml:space="preserve">Recommended solution</t>
  </si>
  <si>
    <t xml:space="preserve">SEC01</t>
  </si>
  <si>
    <t xml:space="preserve">Tenant Isolation</t>
  </si>
  <si>
    <t xml:space="preserve">Cross-tenant RLS carve-out leak</t>
  </si>
  <si>
    <t xml:space="preserve">A worker/admin code path missing clinic context could read or write across tenants</t>
  </si>
  <si>
    <t xml:space="preserve">Catastrophic — all clinics' PHI exposed/crossed</t>
  </si>
  <si>
    <t xml:space="preserve">Critical</t>
  </si>
  <si>
    <t xml:space="preserve">withClinicContext() everywhere; single named admin role via withAdminContext() (lint-enforced single import) + allowlist + audit (R5)</t>
  </si>
  <si>
    <t xml:space="preserve">Mitigated (locked)</t>
  </si>
  <si>
    <t xml:space="preserve">SEC02</t>
  </si>
  <si>
    <t xml:space="preserve">Encryption / Keys</t>
  </si>
  <si>
    <t xml:space="preserve">Master encryption key compromise</t>
  </si>
  <si>
    <t xml:space="preserve">Envelope-encryption master key leak exposes all PHI at rest</t>
  </si>
  <si>
    <t xml:space="preserve">Catastrophic — all PHI at rest</t>
  </si>
  <si>
    <t xml:space="preserve">Supabase Vault + envelope + key_version rotation + host-store fallback; restrict key access; rotate on suspicion (X8)</t>
  </si>
  <si>
    <t xml:space="preserve">SEC03</t>
  </si>
  <si>
    <t xml:space="preserve">HMAC lookup-key leak (identity correlation)</t>
  </si>
  <si>
    <t xml:space="preserve">Stable HMAC used for encrypted-field lookups; leak enables correlation/brute-force of identities</t>
  </si>
  <si>
    <t xml:space="preserve">High — patient identity correlation</t>
  </si>
  <si>
    <t xml:space="preserve">Separate stable HMAC key, independent of the encryption key; long key; restricted access (R4)</t>
  </si>
  <si>
    <t xml:space="preserve">SEC04</t>
  </si>
  <si>
    <t xml:space="preserve">Third-Party</t>
  </si>
  <si>
    <t xml:space="preserve">PHI through unofficial WhatsApp gateway (Evolution)</t>
  </si>
  <si>
    <t xml:space="preserve">Interim transport is an unofficial gateway — PHI in transit through a non-official component; ToS + interception risk</t>
  </si>
  <si>
    <t xml:space="preserve">High — WhatsApp PHI in transit</t>
  </si>
  <si>
    <t xml:space="preserve">Bounded interim + supervision; per-clinic cutover to official Meta Cloud API (R7, X9/X10)</t>
  </si>
  <si>
    <t xml:space="preserve">Mitigated (interim); cutover planned</t>
  </si>
  <si>
    <t xml:space="preserve">SEC05</t>
  </si>
  <si>
    <t xml:space="preserve">Application / Bot</t>
  </si>
  <si>
    <t xml:space="preserve">Prompt injection / data exfiltration via patient input</t>
  </si>
  <si>
    <t xml:space="preserve">Patient messages may try to manipulate the bot to reveal data or act out of scope</t>
  </si>
  <si>
    <t xml:space="preserve">Medium-High — bounded to current clinic/patient by RLS</t>
  </si>
  <si>
    <t xml:space="preserve">KB-grounded only (no general fallback); RLS-scoped context; DAL allowlist constrains writes; structured system prompt; deterministic gates</t>
  </si>
  <si>
    <t xml:space="preserve">Mitigated (by design)</t>
  </si>
  <si>
    <t xml:space="preserve">SEC06</t>
  </si>
  <si>
    <t xml:space="preserve">PHI sent to third-party LLM/ASR providers</t>
  </si>
  <si>
    <t xml:space="preserve">Messages/audio sent to Anthropic/DeepSeek/OpenAI/Deepgram; data-handling + residency concerns for medical data</t>
  </si>
  <si>
    <t xml:space="preserve">High — PHI to external processors</t>
  </si>
  <si>
    <t xml:space="preserve">Provider data-processing terms + no-train assurances; minimize PHI in prompts; consider self-hosted LLM (FI2) for sensitive deployments</t>
  </si>
  <si>
    <t xml:space="preserve">Open — review needed</t>
  </si>
  <si>
    <t xml:space="preserve">SEC07</t>
  </si>
  <si>
    <t xml:space="preserve">Auth / Access</t>
  </si>
  <si>
    <t xml:space="preserve">RBAC enforced only in UI (privilege escalation)</t>
  </si>
  <si>
    <t xml:space="preserve">If the role matrix isn't enforced at API/DAL, a user could call APIs beyond their role</t>
  </si>
  <si>
    <t xml:space="preserve">Medium — within-clinic over-access</t>
  </si>
  <si>
    <t xml:space="preserve">Enforce the 5-role matrix at API/DAL, not UI-only (G18)</t>
  </si>
  <si>
    <t xml:space="preserve">SEC08</t>
  </si>
  <si>
    <t xml:space="preserve">Platform impersonation abuse</t>
  </si>
  <si>
    <t xml:space="preserve">Platform admins can impersonate clinic users; abuse = access to any clinic's PHI</t>
  </si>
  <si>
    <t xml:space="preserve">High — any clinic via impersonation</t>
  </si>
  <si>
    <t xml:space="preserve">acted_by_platform_user_id stamp + audit + time-boxed session + platform-only (G28)</t>
  </si>
  <si>
    <t xml:space="preserve">SEC09</t>
  </si>
  <si>
    <t xml:space="preserve">Network / Transport</t>
  </si>
  <si>
    <t xml:space="preserve">Webhook spoofing (unverified inbound)</t>
  </si>
  <si>
    <t xml:space="preserve">Unverified Meta webhooks allow forged inbound messages</t>
  </si>
  <si>
    <t xml:space="preserve">Medium — injected messages per clinic</t>
  </si>
  <si>
    <t xml:space="preserve">Meta HMAC signature verification + constant-time compare + verify-challenge (G06)</t>
  </si>
  <si>
    <t xml:space="preserve">SEC10</t>
  </si>
  <si>
    <t xml:space="preserve">Bot unauthorized data writes</t>
  </si>
  <si>
    <t xml:space="preserve">Bot writes to patient records; injection could attempt bad writes</t>
  </si>
  <si>
    <t xml:space="preserve">Medium — single patient record</t>
  </si>
  <si>
    <t xml:space="preserve">DAL allowlist (field-level, validated, logged, NO deletes), confidence-gated, secretary-wins (D24)</t>
  </si>
  <si>
    <t xml:space="preserve">SEC11</t>
  </si>
  <si>
    <t xml:space="preserve">Secrets exposure (env / boot)</t>
  </si>
  <si>
    <t xml:space="preserve">Connection secrets in env; leak via misconfig or logs</t>
  </si>
  <si>
    <t xml:space="preserve">High — infra credentials</t>
  </si>
  <si>
    <t xml:space="preserve">env = connection secrets only; master key from Vault at boot; fail-fast; never log secrets (G05)</t>
  </si>
  <si>
    <t xml:space="preserve">SEC12</t>
  </si>
  <si>
    <t xml:space="preserve">OAuth token theft (Google Calendar / Meta)</t>
  </si>
  <si>
    <t xml:space="preserve">Stored per-clinic OAuth tokens; theft → calendar/page access</t>
  </si>
  <si>
    <t xml:space="preserve">Medium — single clinic's calendar/page</t>
  </si>
  <si>
    <t xml:space="preserve">Encrypted token storage (envelope); refresh/revocation handling; disconnect alerts (1C/2B)</t>
  </si>
  <si>
    <t xml:space="preserve">SEC13</t>
  </si>
  <si>
    <t xml:space="preserve">Infrastructure</t>
  </si>
  <si>
    <t xml:space="preserve">Single-VPS host compromise</t>
  </si>
  <si>
    <t xml:space="preserve">All components on one host; host compromise = full compromise; also SPOF</t>
  </si>
  <si>
    <t xml:space="preserve">High — entire deployment</t>
  </si>
  <si>
    <t xml:space="preserve">Medium-High</t>
  </si>
  <si>
    <t xml:space="preserve">Host hardening + least-privilege + patch mgmt; encrypted backups (X12); redundancy later (X13, R8)</t>
  </si>
  <si>
    <t xml:space="preserve">Partial — hardening needed</t>
  </si>
  <si>
    <t xml:space="preserve">SEC14</t>
  </si>
  <si>
    <t xml:space="preserve">Backup security (PHI in backups)</t>
  </si>
  <si>
    <t xml:space="preserve">DB backups contain PHI; unencrypted/exposed backups = breach</t>
  </si>
  <si>
    <t xml:space="preserve">High — all PHI in backup</t>
  </si>
  <si>
    <t xml:space="preserve">Encrypted backups, access-controlled, tested recovery (X12)</t>
  </si>
  <si>
    <t xml:space="preserve">Open — X12 before real patients</t>
  </si>
  <si>
    <t xml:space="preserve">SEC15</t>
  </si>
  <si>
    <t xml:space="preserve">Messaging opted-out patients</t>
  </si>
  <si>
    <t xml:space="preserve">Sending to opted-out users violates policy/regulation</t>
  </si>
  <si>
    <t xml:space="preserve">Low-Medium — compliance</t>
  </si>
  <si>
    <t xml:space="preserve">Outbound chokepoint suppression, bot-irreversible (D05)</t>
  </si>
  <si>
    <t xml:space="preserve">SEC16</t>
  </si>
  <si>
    <t xml:space="preserve">PHI in logs / URLs</t>
  </si>
  <si>
    <t xml:space="preserve">PHI accidentally logged in plaintext or placed in URL query strings</t>
  </si>
  <si>
    <t xml:space="preserve">Medium — log/URL exposure</t>
  </si>
  <si>
    <t xml:space="preserve">Structured logging that redacts PHI; never put PHI in URLs/query strings; restrict log access</t>
  </si>
  <si>
    <t xml:space="preserve">Open — build-time discipline</t>
  </si>
  <si>
    <t xml:space="preserve">SEC17</t>
  </si>
  <si>
    <t xml:space="preserve">JWT / session security</t>
  </si>
  <si>
    <t xml:space="preserve">Clinic JWT scope/expiry; stolen-token reuse</t>
  </si>
  <si>
    <t xml:space="preserve">Medium — single user/clinic session</t>
  </si>
  <si>
    <t xml:space="preserve">Scoped short-lived JWTs; secure storage; rotation; revoke on role change</t>
  </si>
  <si>
    <t xml:space="preserve">Locked (scope) + build discipline</t>
  </si>
  <si>
    <t xml:space="preserve">SEC18</t>
  </si>
  <si>
    <t xml:space="preserve">API rate limiting / DoS</t>
  </si>
  <si>
    <t xml:space="preserve">Webhook + API endpoints could be flooded or abused</t>
  </si>
  <si>
    <t xml:space="preserve">Medium — availability</t>
  </si>
  <si>
    <t xml:space="preserve">Per-source rate limiting; early-drop invalid webhooks; queue backpressure</t>
  </si>
  <si>
    <t xml:space="preserve">Open — recommended</t>
  </si>
  <si>
    <t xml:space="preserve">SEC19</t>
  </si>
  <si>
    <t xml:space="preserve">Audit / Logging</t>
  </si>
  <si>
    <t xml:space="preserve">Audit completeness &amp; tamper-resistance</t>
  </si>
  <si>
    <t xml:space="preserve">Admin/impersonation/status changes must be reliably logged for forensics</t>
  </si>
  <si>
    <t xml:space="preserve">Low — forensics/accountability</t>
  </si>
  <si>
    <t xml:space="preserve">Append-only, time-stamped, actor-stamped audit logs; immutable storage; access-controlled</t>
  </si>
  <si>
    <t xml:space="preserve">Mitigated (locked pattern)</t>
  </si>
  <si>
    <t xml:space="preserve">SEC20</t>
  </si>
  <si>
    <t xml:space="preserve">Cross-channel merge PHI mixing</t>
  </si>
  <si>
    <t xml:space="preserve">A wrong patient merge blends two patients' PHI</t>
  </si>
  <si>
    <t xml:space="preserve">Medium — two patients</t>
  </si>
  <si>
    <t xml:space="preserve">Manual-only merge, audited, confirmation step (D37); reversible merge → FI6</t>
  </si>
  <si>
    <t xml:space="preserve">Mitigated (manual)</t>
  </si>
  <si>
    <t xml:space="preserve">SEC21</t>
  </si>
  <si>
    <t xml:space="preserve">Distress / safety mishandling</t>
  </si>
  <si>
    <t xml:space="preserve">Bot mishandling a medical-distress message (liability/safety, not data)</t>
  </si>
  <si>
    <t xml:space="preserve">Low-Medium — reputation/safety</t>
  </si>
  <si>
    <t xml:space="preserve">Deterministic deflection guardrail + local emergency number (D16, R10, X14)</t>
  </si>
  <si>
    <t xml:space="preserve">SEC22</t>
  </si>
  <si>
    <t xml:space="preserve">Dependency / supply-chain</t>
  </si>
  <si>
    <t xml:space="preserve">npm/pip deps + self-hosted Evolution may carry vulnerabilities</t>
  </si>
  <si>
    <t xml:space="preserve">Medium — code execution / compromise</t>
  </si>
  <si>
    <t xml:space="preserve">Pinned deps + lockfiles; vuln scanning (npm/pip audit); update cadence; vet Evolution version</t>
  </si>
  <si>
    <t xml:space="preserve">SEC23</t>
  </si>
  <si>
    <t xml:space="preserve">Proactive-messaging compliance / WhatsApp number reputation</t>
  </si>
  <si>
    <t xml:space="preserve">Improper proactive sends (no opt-out check, spam, marketing without consent) risk policy violation + number throttle/ban</t>
  </si>
  <si>
    <t xml:space="preserve">Medium-High — clinic's whole messaging channel</t>
  </si>
  <si>
    <t xml:space="preserve">Six-gate model at chokepoint (opt-out, approved-template, timing, state-valid, frequency-cap, clinic-enabled); transactional-only in 2C; marketing deferred w/ explicit opt-in (D39)</t>
  </si>
  <si>
    <t xml:space="preserve">Mitigated (six-gate) for transactional</t>
  </si>
  <si>
    <t xml:space="preserve">SEC24</t>
  </si>
  <si>
    <t xml:space="preserve">External data egress (Sheets/CRM export)</t>
  </si>
  <si>
    <t xml:space="preserve">PHI/lead data leaving the platform to a clinic's Sheet or external CRM (3C); risk of over-export or leak to wrong destination</t>
  </si>
  <si>
    <t xml:space="preserve">Medium-High — patient data outside platform</t>
  </si>
  <si>
    <t xml:space="preserve">Clinic-authorized fields only; per-clinic encrypted OAuth creds (G49); egress audited + revocable (G48); aggregates/scoped where possible</t>
  </si>
  <si>
    <t xml:space="preserve">Mitigated (clinic-authorized + audited)</t>
  </si>
  <si>
    <t xml:space="preserve">SEC25</t>
  </si>
  <si>
    <t xml:space="preserve">Data retention &amp; right-to-erasure</t>
  </si>
  <si>
    <t xml:space="preserve">No retention/erasure policy = indefinite PHI accumulation + no deletion path; non-compliant with GDPR-baseline + emerging Guatemalan law</t>
  </si>
  <si>
    <t xml:space="preserve">Medium — long-term PHI exposure surface</t>
  </si>
  <si>
    <t xml:space="preserve">Configurable retention + scheduled hard-purge cascade (D62/G62); right-to-erasure via opt-out chokepoint; consent capture (G63); local-counsel review (X20)</t>
  </si>
  <si>
    <t xml:space="preserve">Mitigated (D62 retention + G62 cascade)</t>
  </si>
  <si>
    <t xml:space="preserve">Platform Requirements — spec vs. build cross-check</t>
  </si>
  <si>
    <t xml:space="preserve">Source: Docmee_Platform_Requirements_EN.pdf · doc Phase 1→our 0/1A/1B/1C · doc Phase 2→our 2A–2D · doc Phase 3→our 3A–3D</t>
  </si>
  <si>
    <t xml:space="preserve">Doc section</t>
  </si>
  <si>
    <t xml:space="preserve">Requirement (grouped)</t>
  </si>
  <si>
    <t xml:space="preserve">Coverage</t>
  </si>
  <si>
    <t xml:space="preserve">Where (our build)</t>
  </si>
  <si>
    <t xml:space="preserve">PR01</t>
  </si>
  <si>
    <t xml:space="preserve">1. IA Studio Admin Panel</t>
  </si>
  <si>
    <t xml:space="preserve">Create/activate clinics, users, roles, chatbot settings, view convos, manage channels, error review, performance, billing, integrations</t>
  </si>
  <si>
    <t xml:space="preserve">Planned</t>
  </si>
  <si>
    <t xml:space="preserve">2A (IA Studio+RBAC D33), 2A invoicing (D34), 2D error review</t>
  </si>
  <si>
    <t xml:space="preserve">Core admin surface in 2A; billing manual in 2A</t>
  </si>
  <si>
    <t xml:space="preserve">PR02</t>
  </si>
  <si>
    <t xml:space="preserve">2. Clinic Panel</t>
  </si>
  <si>
    <t xml:space="preserve">Private per-clinic panel; multi-user roles (doctor/secretary/admin/assistant); role permissions</t>
  </si>
  <si>
    <t xml:space="preserve">Covered</t>
  </si>
  <si>
    <t xml:space="preserve">1B (panel/CRM), 2A (RBAC D33)</t>
  </si>
  <si>
    <t xml:space="preserve">5-role matrix locked + enforced at API/DAL</t>
  </si>
  <si>
    <t xml:space="preserve">PR03</t>
  </si>
  <si>
    <t xml:space="preserve">3. Communication Channels</t>
  </si>
  <si>
    <t xml:space="preserve">WhatsApp first; then Messenger + Instagram; unified inbox</t>
  </si>
  <si>
    <t xml:space="preserve">1A (WhatsApp), 2B (Messenger/IG + unified)</t>
  </si>
  <si>
    <t xml:space="preserve">PR04</t>
  </si>
  <si>
    <t xml:space="preserve">4. Unified Inbox</t>
  </si>
  <si>
    <t xml:space="preserve">Conversation states, name/phone, channel, history, status, tags, notes, appt status, last interaction</t>
  </si>
  <si>
    <t xml:space="preserve">1A/1B/2B</t>
  </si>
  <si>
    <t xml:space="preserve">PR05</t>
  </si>
  <si>
    <t xml:space="preserve">5. Bot/Human Mode</t>
  </si>
  <si>
    <t xml:space="preserve">Activate/pause/transfer/return bot; detect human-request phrases; mark urgent</t>
  </si>
  <si>
    <t xml:space="preserve">1A (modes, takeover, intent/handoff, deflection)</t>
  </si>
  <si>
    <t xml:space="preserve">PR06</t>
  </si>
  <si>
    <t xml:space="preserve">6. Bot Must Not Interrupt</t>
  </si>
  <si>
    <t xml:space="preserve">Human reply pauses bot; assigned = bot silent; manual/timeout reactivation; show mode</t>
  </si>
  <si>
    <t xml:space="preserve">1A (takeover-on-reply + self-healing handback)</t>
  </si>
  <si>
    <t xml:space="preserve">Core locked principle</t>
  </si>
  <si>
    <t xml:space="preserve">PR07</t>
  </si>
  <si>
    <t xml:space="preserve">7. KB Per Clinic</t>
  </si>
  <si>
    <t xml:space="preserve">Own KB; answer only clinic info; rich fields; IA Studio edit; no cross-clinic mixing</t>
  </si>
  <si>
    <t xml:space="preserve">1A (KB + RLS isolation + grounding)</t>
  </si>
  <si>
    <t xml:space="preserve">PR08</t>
  </si>
  <si>
    <t xml:space="preserve">8. Audio Messages</t>
  </si>
  <si>
    <t xml:space="preserve">Transcribe → understand → text reply; audio replies future</t>
  </si>
  <si>
    <t xml:space="preserve">1A (provider-abstracted transcription)</t>
  </si>
  <si>
    <t xml:space="preserve">PR09</t>
  </si>
  <si>
    <t xml:space="preserve">9. Google Calendar</t>
  </si>
  <si>
    <t xml:space="preserve">Availability, schedule, confirm, reschedule, cancel, check existing appt, status query, transfer if not found</t>
  </si>
  <si>
    <t xml:space="preserve">Partial</t>
  </si>
  <si>
    <t xml:space="preserve">1C (schedule/availability), 2C (confirm), gap-closure (bot status-query)</t>
  </si>
  <si>
    <t xml:space="preserve">Closed by decision: bot now answers appt-status query (reads Calendar, not-found→human); reschedule/cancel DELIBERATELY human-routed for safety (bot-driven → FI7)</t>
  </si>
  <si>
    <t xml:space="preserve">PR10</t>
  </si>
  <si>
    <t xml:space="preserve">10. Patient Data Capture</t>
  </si>
  <si>
    <t xml:space="preserve">Name, phone, reason, preferred date/time, doctor/specialty, new/returning, channel, notes</t>
  </si>
  <si>
    <t xml:space="preserve">1B (capture D24) + 1C (intake); doctor/specialty → 3A</t>
  </si>
  <si>
    <t xml:space="preserve">PR11</t>
  </si>
  <si>
    <t xml:space="preserve">11. Tags &amp; Statuses</t>
  </si>
  <si>
    <t xml:space="preserve">Suggested tags + conversation statuses</t>
  </si>
  <si>
    <t xml:space="preserve">1B (tags + patient status; conversation status = mode)</t>
  </si>
  <si>
    <t xml:space="preserve">Mode (bot/human/paused/resolved) maps to the doc's statuses; no duplicate status system</t>
  </si>
  <si>
    <t xml:space="preserve">PR12</t>
  </si>
  <si>
    <t xml:space="preserve">12. Conversation Assignment</t>
  </si>
  <si>
    <t xml:space="preserve">Assign to secretaries / doctor / admin</t>
  </si>
  <si>
    <t xml:space="preserve">1B (assignment) + 2A (routing D30)</t>
  </si>
  <si>
    <t xml:space="preserve">PR13</t>
  </si>
  <si>
    <t xml:space="preserve">13. Internal Notes</t>
  </si>
  <si>
    <t xml:space="preserve">Staff-only notes inside conversations</t>
  </si>
  <si>
    <t xml:space="preserve">1B (patient/conversation notes D22)</t>
  </si>
  <si>
    <t xml:space="preserve">PR14</t>
  </si>
  <si>
    <t xml:space="preserve">14. Follow-Ups &amp; Reminders</t>
  </si>
  <si>
    <t xml:space="preserve">1-day reminder, confirmation, post-consult, 7-day, 3-month, review, no-reply; template-gated</t>
  </si>
  <si>
    <t xml:space="preserve">2C (reminders/confirmations/follow-ups, six-gate, templates)</t>
  </si>
  <si>
    <t xml:space="preserve">PR15</t>
  </si>
  <si>
    <t xml:space="preserve">15. Quick Reply Templates</t>
  </si>
  <si>
    <t xml:space="preserve">Canned responses (address/hours/price/etc.)</t>
  </si>
  <si>
    <t xml:space="preserve">2A (quick replies D32)</t>
  </si>
  <si>
    <t xml:space="preserve">PR16</t>
  </si>
  <si>
    <t xml:space="preserve">16. Patient History</t>
  </si>
  <si>
    <t xml:space="preserve">Prev convos/appointments, status, notes, tags, last interaction, next appt; not a medical record</t>
  </si>
  <si>
    <t xml:space="preserve">1B (profile) + 1C (appointments)</t>
  </si>
  <si>
    <t xml:space="preserve">PR17</t>
  </si>
  <si>
    <t xml:space="preserve">17. Basic Metrics</t>
  </si>
  <si>
    <t xml:space="preserve">Totals, by channel, leads, requests, scheduled, transfers, common Qs, peak hours, no-response, conversion</t>
  </si>
  <si>
    <t xml:space="preserve">2D (Analytics)</t>
  </si>
  <si>
    <t xml:space="preserve">PR18</t>
  </si>
  <si>
    <t xml:space="preserve">18. Secretary Alerts</t>
  </si>
  <si>
    <t xml:space="preserve">Human-request, bot-stuck, appt request, urgent, upset, needs confirmation, repeated no-response</t>
  </si>
  <si>
    <t xml:space="preserve">1B (notifications) + 2A (full escalation D31)</t>
  </si>
  <si>
    <t xml:space="preserve">PR19</t>
  </si>
  <si>
    <t xml:space="preserve">19. Meta Compliance &amp; Account Protection</t>
  </si>
  <si>
    <t xml:space="preserve">API use, verification, webhooks, token storage/renewal, windows, approved templates, no mass-msg w/o consent, consent, opt-out, anti-spam, quality monitoring, Meta error logs</t>
  </si>
  <si>
    <t xml:space="preserve">P0 (webhook/tokens/opt-out), 1A (window), 2C (templates/six-gate/consent), 2D (quality/error logs), X1/X3/X4</t>
  </si>
  <si>
    <t xml:space="preserve">'No mass messaging w/o consent' = 2C Q5 broadcast flag</t>
  </si>
  <si>
    <t xml:space="preserve">PR20</t>
  </si>
  <si>
    <t xml:space="preserve">20. Medical Safety Rules</t>
  </si>
  <si>
    <t xml:space="preserve">No diagnose/prescribe/treat/interpret/replace; suggest appointment; emergency → emergency services</t>
  </si>
  <si>
    <t xml:space="preserve">1A (deflection guardrail + behavioral rules D16)</t>
  </si>
  <si>
    <t xml:space="preserve">PR21</t>
  </si>
  <si>
    <t xml:space="preserve">21. Spanish &amp; English PANEL</t>
  </si>
  <si>
    <t xml:space="preserve">Panel i18n; language switch; applies to all admin/clinic UI</t>
  </si>
  <si>
    <t xml:space="preserve">Gap-closure (i18n framework from start) across panel</t>
  </si>
  <si>
    <t xml:space="preserve">LOCKED — ES+EN panel i18n: keys + per-user locale switch across IA Studio + clinic panel; panel language independent of chatbot</t>
  </si>
  <si>
    <t xml:space="preserve">PR22</t>
  </si>
  <si>
    <t xml:space="preserve">22. Spanish &amp; English CHATBOT</t>
  </si>
  <si>
    <t xml:space="preserve">Bot understands + replies in patient language (Spanish + English)</t>
  </si>
  <si>
    <t xml:space="preserve">Gap-closure (amends 1A): detect + respond in patient language</t>
  </si>
  <si>
    <t xml:space="preserve">LOCKED — ES+EN chatbot: detect patient language, reply in it using clinic-approved info; further languages → FI</t>
  </si>
  <si>
    <t xml:space="preserve">PR23</t>
  </si>
  <si>
    <t xml:space="preserve">23. Mobile App Vision</t>
  </si>
  <si>
    <t xml:space="preserve">Eventual app (UChat-like); responsive → PWA → native</t>
  </si>
  <si>
    <t xml:space="preserve">3D (PWA + Web Push) + FI4 (native app)</t>
  </si>
  <si>
    <t xml:space="preserve">Locked in 3D — responsive panel + installable PWA + push; native iOS/Android remains FI4</t>
  </si>
  <si>
    <t xml:space="preserve">PR24</t>
  </si>
  <si>
    <t xml:space="preserve">24. Notifications</t>
  </si>
  <si>
    <t xml:space="preserve">Triggers; web panel / email / mobile-PWA / internal-WhatsApp (future)</t>
  </si>
  <si>
    <t xml:space="preserve">1B + 2A (panel/email) + 3D (Web Push); internal-WhatsApp = future</t>
  </si>
  <si>
    <t xml:space="preserve">Push channel locked in 3D (VAPID) into the notification ladder</t>
  </si>
  <si>
    <t xml:space="preserve">PR25</t>
  </si>
  <si>
    <t xml:space="preserve">25. Document Training</t>
  </si>
  <si>
    <t xml:space="preserve">PDF/Word/text/FAQ ingestion into the KB</t>
  </si>
  <si>
    <t xml:space="preserve">1A (text-layer) + 3C (OCR + docx/structured parsers)</t>
  </si>
  <si>
    <t xml:space="preserve">Basic text ingestion in 1A; OCR for scanned docs + rich formats locked in 3C</t>
  </si>
  <si>
    <t xml:space="preserve">PR26</t>
  </si>
  <si>
    <t xml:space="preserve">26. Bot Tone Control</t>
  </si>
  <si>
    <t xml:space="preserve">Formal / friendly / professional / short / detailed / secretary-style</t>
  </si>
  <si>
    <t xml:space="preserve">3B (tone = per-clinic rule setting) + 1A</t>
  </si>
  <si>
    <t xml:space="preserve">Locked in 3B advanced rules — tone becomes a structured per-clinic rule</t>
  </si>
  <si>
    <t xml:space="preserve">PR27</t>
  </si>
  <si>
    <t xml:space="preserve">27. Clinic-Specific Rules</t>
  </si>
  <si>
    <t xml:space="preserve">No prices / only consult price / no medical Q / transfer emergencies / no booking w/o payment / after-hours data-only / transfer certain cases</t>
  </si>
  <si>
    <t xml:space="preserve">3B (structured conditional rules) + 1A (D10/D16)</t>
  </si>
  <si>
    <t xml:space="preserve">Locked in 3B — safety-critical rules (payment-gate, after-hours) enforced deterministically at pipeline gates</t>
  </si>
  <si>
    <t xml:space="preserve">PR28</t>
  </si>
  <si>
    <t xml:space="preserve">28. Custom Flows</t>
  </si>
  <si>
    <t xml:space="preserve">Schedule/reschedule/confirm/location/price/surgery/post-consult/review/insurance</t>
  </si>
  <si>
    <t xml:space="preserve">3B (declarative flow builder) + 1C/2C/1A</t>
  </si>
  <si>
    <t xml:space="preserve">Locked in 3B — clinic-configurable flow builder + starter library; individual flows already exist</t>
  </si>
  <si>
    <t xml:space="preserve">PR29</t>
  </si>
  <si>
    <t xml:space="preserve">29. Error Review Area</t>
  </si>
  <si>
    <t xml:space="preserve">Unanswered, help requests, bad responses, handoffs, unknown intents, Meta/Calendar errors, failed messages</t>
  </si>
  <si>
    <t xml:space="preserve">2D (error review)</t>
  </si>
  <si>
    <t xml:space="preserve">Infra exists: error_log/DLQ</t>
  </si>
  <si>
    <t xml:space="preserve">PR30</t>
  </si>
  <si>
    <t xml:space="preserve">30. Multi-Doctor Clinics</t>
  </si>
  <si>
    <t xml:space="preserve">Multiple doctors; per-doctor calendar/services/hours/FAQs; scheduling by doctor</t>
  </si>
  <si>
    <t xml:space="preserve">3A (Multi-Doctor)</t>
  </si>
  <si>
    <t xml:space="preserve">Seam reserved since Phase 0 (dormant doctor tables)</t>
  </si>
  <si>
    <t xml:space="preserve">PR31</t>
  </si>
  <si>
    <t xml:space="preserve">31. Sheets / CRM Integration</t>
  </si>
  <si>
    <t xml:space="preserve">Export patient/lead fields to Sheets or external CRM</t>
  </si>
  <si>
    <t xml:space="preserve">3C (Sheets append + generic webhook/CRM connector)</t>
  </si>
  <si>
    <t xml:space="preserve">Locked in 3C — per-clinic export, encrypted creds (X18), clinic-authorized fields only (SEC24)</t>
  </si>
  <si>
    <t xml:space="preserve">PR32</t>
  </si>
  <si>
    <t xml:space="preserve">32. QoS Monitoring</t>
  </si>
  <si>
    <t xml:space="preserve">Upset patients, abandoned, response times, no closure, no-schedule reasons, follow-up opportunities</t>
  </si>
  <si>
    <t xml:space="preserve">2D (QoS/analytics)</t>
  </si>
  <si>
    <t xml:space="preserve">Docmee — Cost Tracker</t>
  </si>
  <si>
    <t xml:space="preserve">Deliverables vs. time spent and AI-assistant cost. Blue input cells are editable; costs are live formulas. Fill Actual hrs + AI uses as you go.</t>
  </si>
  <si>
    <t xml:space="preserve">Assumptions (edit these)</t>
  </si>
  <si>
    <t xml:space="preserve">Parameter</t>
  </si>
  <si>
    <t xml:space="preserve">Value</t>
  </si>
  <si>
    <t xml:space="preserve">Dev rate ($/hr)</t>
  </si>
  <si>
    <t xml:space="preserve">AI cost per use ($/session)</t>
  </si>
  <si>
    <t xml:space="preserve">Hours per week (capacity)</t>
  </si>
  <si>
    <t xml:space="preserve">Cost tracker (by deliverable)</t>
  </si>
  <si>
    <t xml:space="preserve">Deliverable</t>
  </si>
  <si>
    <t xml:space="preserve">Weeks</t>
  </si>
  <si>
    <t xml:space="preserve">Est. hrs</t>
  </si>
  <si>
    <t xml:space="preserve">Actual hrs</t>
  </si>
  <si>
    <t xml:space="preserve">Dev cost</t>
  </si>
  <si>
    <t xml:space="preserve">AI uses</t>
  </si>
  <si>
    <t xml:space="preserve">AI cost</t>
  </si>
  <si>
    <t xml:space="preserve">Total cost</t>
  </si>
  <si>
    <t xml:space="preserve">P0</t>
  </si>
  <si>
    <t xml:space="preserve">P1A</t>
  </si>
  <si>
    <t xml:space="preserve">P1B</t>
  </si>
  <si>
    <t xml:space="preserve">P1C</t>
  </si>
  <si>
    <t xml:space="preserve">P2A</t>
  </si>
  <si>
    <t xml:space="preserve">P2B</t>
  </si>
  <si>
    <t xml:space="preserve">P2C</t>
  </si>
  <si>
    <t xml:space="preserve">2C Q1–Q4 decision work (this session) — estimate</t>
  </si>
  <si>
    <t xml:space="preserve">P2D</t>
  </si>
  <si>
    <t xml:space="preserve">P3A</t>
  </si>
  <si>
    <t xml:space="preserve">P3B</t>
  </si>
  <si>
    <t xml:space="preserve">P3C</t>
  </si>
  <si>
    <t xml:space="preserve">P3D</t>
  </si>
  <si>
    <t xml:space="preserve">PM</t>
  </si>
  <si>
    <t xml:space="preserve">PM — Planning, decisions &amp; tracker (cross-cutting)</t>
  </si>
  <si>
    <t xml:space="preserve">This session: tracker build, dark mode, Gantts, Platform Requirements, Cost Tracker, Overview fixes — estimate</t>
  </si>
  <si>
    <t xml:space="preserve">TOTAL</t>
  </si>
  <si>
    <t xml:space="preserve">Summary</t>
  </si>
  <si>
    <t xml:space="preserve">Total dev cost</t>
  </si>
  <si>
    <t xml:space="preserve">Total AI cost</t>
  </si>
  <si>
    <t xml:space="preserve">Grand total</t>
  </si>
  <si>
    <t xml:space="preserve">Est. hrs (plan)</t>
  </si>
  <si>
    <t xml:space="preserve">Actual hrs (logged)</t>
  </si>
  <si>
    <t xml:space="preserve">AI uses (logged)</t>
  </si>
  <si>
    <t xml:space="preserve">Docmee — Build Backlog (sequenced from sealed plan)</t>
  </si>
  <si>
    <t xml:space="preserve">Build top-to-bottom. Gates = definition of done · Gaps = impl rules · Actions/Security = pre-conditions. Companion: docmee-build-backlog.md</t>
  </si>
  <si>
    <t xml:space="preserve">Order</t>
  </si>
  <si>
    <t xml:space="preserve">Stage</t>
  </si>
  <si>
    <t xml:space="preserve">Build focus</t>
  </si>
  <si>
    <t xml:space="preserve">Gates</t>
  </si>
  <si>
    <t xml:space="preserve">Gaps</t>
  </si>
  <si>
    <t xml:space="preserve">Actions (pre-cond)</t>
  </si>
  <si>
    <t xml:space="preserve">S0</t>
  </si>
  <si>
    <t xml:space="preserve">Sprint 0</t>
  </si>
  <si>
    <t xml:space="preserve">Setup + unblock externals + SEC06 decision</t>
  </si>
  <si>
    <t xml:space="preserve">X7·X20·X1·X5·X6·X2·X9</t>
  </si>
  <si>
    <t xml:space="preserve">SEC06·SEC22</t>
  </si>
  <si>
    <t xml:space="preserve">Start Meta + counsel NOW (lead time); stand up infra + CI + observability (D63)</t>
  </si>
  <si>
    <t xml:space="preserve">1</t>
  </si>
  <si>
    <t xml:space="preserve">Phase 0 — Foundation</t>
  </si>
  <si>
    <t xml:space="preserve">RLS isolation · encryption · opt-out chokepoint · idempotency · deploy</t>
  </si>
  <si>
    <t xml:space="preserve">9</t>
  </si>
  <si>
    <t xml:space="preserve">G01–G08·G62·G63</t>
  </si>
  <si>
    <t xml:space="preserve">Build the RLS tenant-isolation test suite here</t>
  </si>
  <si>
    <t xml:space="preserve">2</t>
  </si>
  <si>
    <t xml:space="preserve">Phase 1A — Core Bot</t>
  </si>
  <si>
    <t xml:space="preserve">KB · 5-intent pipeline · 24h window · transcription · ES/EN bot</t>
  </si>
  <si>
    <t xml:space="preserve">10</t>
  </si>
  <si>
    <t xml:space="preserve">G09–G13</t>
  </si>
  <si>
    <t xml:space="preserve">Grounded answers; never interrupts a human</t>
  </si>
  <si>
    <t xml:space="preserve">3</t>
  </si>
  <si>
    <t xml:space="preserve">Phase 1B — Human Inbox</t>
  </si>
  <si>
    <t xml:space="preserve">Patient CRM · assignment · tags · notes · capture allowlist</t>
  </si>
  <si>
    <t xml:space="preserve">16</t>
  </si>
  <si>
    <t xml:space="preserve">G14–G18</t>
  </si>
  <si>
    <t xml:space="preserve">Secretaries fully operate inbox</t>
  </si>
  <si>
    <t xml:space="preserve">4</t>
  </si>
  <si>
    <t xml:space="preserve">Phase 1C — Scheduling</t>
  </si>
  <si>
    <t xml:space="preserve">Calendar truth · 8-step intake · lifecycle · status query</t>
  </si>
  <si>
    <t xml:space="preserve">14</t>
  </si>
  <si>
    <t xml:space="preserve">G19–G25</t>
  </si>
  <si>
    <t xml:space="preserve">Reschedule/cancel route to humans</t>
  </si>
  <si>
    <t xml:space="preserve">★</t>
  </si>
  <si>
    <t xml:space="preserve">PILOT LAUNCH GATE</t>
  </si>
  <si>
    <t xml:space="preserve">Pre-conditions before ANY real patient traffic</t>
  </si>
  <si>
    <t xml:space="preserve">X3·X7·X12·X14·X11·X20</t>
  </si>
  <si>
    <t xml:space="preserve">SEC14·SEC18</t>
  </si>
  <si>
    <t xml:space="preserve">All must pass before go-live</t>
  </si>
  <si>
    <t xml:space="preserve">5</t>
  </si>
  <si>
    <t xml:space="preserve">Phase 2A — Multi-User Ops</t>
  </si>
  <si>
    <t xml:space="preserve">RBAC · IA Studio · routing · notifications · panel i18n</t>
  </si>
  <si>
    <t xml:space="preserve">11</t>
  </si>
  <si>
    <t xml:space="preserve">G26–G28</t>
  </si>
  <si>
    <t xml:space="preserve">ES/EN panel i18n here</t>
  </si>
  <si>
    <t xml:space="preserve">6</t>
  </si>
  <si>
    <t xml:space="preserve">Phase 2B — Channels</t>
  </si>
  <si>
    <t xml:space="preserve">Messenger + IG · unified inbox · manual merge</t>
  </si>
  <si>
    <t xml:space="preserve">8</t>
  </si>
  <si>
    <t xml:space="preserve">G29–G31</t>
  </si>
  <si>
    <t xml:space="preserve">Manual merge only (FI6 later)</t>
  </si>
  <si>
    <t xml:space="preserve">7</t>
  </si>
  <si>
    <t xml:space="preserve">Phase 2C — Automation</t>
  </si>
  <si>
    <t xml:space="preserve">Templates · six-gate · reminders · follow-ups</t>
  </si>
  <si>
    <t xml:space="preserve">G57–G61</t>
  </si>
  <si>
    <t xml:space="preserve">Build six-gate + idempotency test suite here</t>
  </si>
  <si>
    <t xml:space="preserve">Phase 2D — Analytics &amp; Search</t>
  </si>
  <si>
    <t xml:space="preserve">Metrics/QoS rollups · error review · content search</t>
  </si>
  <si>
    <t xml:space="preserve">G32–G36</t>
  </si>
  <si>
    <t xml:space="preserve">Resolves R12</t>
  </si>
  <si>
    <t xml:space="preserve">Phase 3A — Multi-Doctor</t>
  </si>
  <si>
    <t xml:space="preserve">Doctor entity · selection · per-doctor KB/routing</t>
  </si>
  <si>
    <t xml:space="preserve">G37–G41</t>
  </si>
  <si>
    <t xml:space="preserve">N=1 backward compatible</t>
  </si>
  <si>
    <t xml:space="preserve">Phase 3B — Advanced Intake</t>
  </si>
  <si>
    <t xml:space="preserve">Flow builder · advanced rules · secretary copilot</t>
  </si>
  <si>
    <t xml:space="preserve">G42–G46</t>
  </si>
  <si>
    <t xml:space="preserve">Safety rules enforced deterministically</t>
  </si>
  <si>
    <t xml:space="preserve">Phase 3C — Integrations &amp; OCR</t>
  </si>
  <si>
    <t xml:space="preserve">OCR ingestion · Sheets/CRM export · reports</t>
  </si>
  <si>
    <t xml:space="preserve">G47–G51</t>
  </si>
  <si>
    <t xml:space="preserve">Export requires written consent (Guatemala law)</t>
  </si>
  <si>
    <t xml:space="preserve">12</t>
  </si>
  <si>
    <t xml:space="preserve">Phase 3D — Mobile/PWA/Push</t>
  </si>
  <si>
    <t xml:space="preserve">Installable PWA · Web Push · mobile parity</t>
  </si>
  <si>
    <t xml:space="preserve">G52–G56</t>
  </si>
  <si>
    <t xml:space="preserve">Native app = FI4</t>
  </si>
  <si>
    <t xml:space="preserve">~</t>
  </si>
  <si>
    <t xml:space="preserve">Ongoing / parked</t>
  </si>
  <si>
    <t xml:space="preserve">Testing (X19) · observability (D63) · HA (X13 parked)</t>
  </si>
  <si>
    <t xml:space="preserve">X19·X11·X13</t>
  </si>
  <si>
    <t xml:space="preserve">SEC06·14·16·18·22</t>
  </si>
  <si>
    <t xml:space="preserve">Pull RLS+six-gate tests into the build</t>
  </si>
  <si>
    <t xml:space="preserve">Docmee — Two-Agent Development Plan</t>
  </si>
  <si>
    <t xml:space="preserve">Shared monorepo · Agent BE (Core &amp; Contract) + Agent FE (Experience). Seam = packages/contracts (BE owns, FE consumes via mock). Companion: docmee-dev-plan.md · AGENTS.md · docmee-api-contract.yaml</t>
  </si>
  <si>
    <t xml:space="preserve">Agent BE track</t>
  </si>
  <si>
    <t xml:space="preserve">Agent FE track</t>
  </si>
  <si>
    <t xml:space="preserve">Integration checkpoint</t>
  </si>
  <si>
    <t xml:space="preserve">Infra · CI · RLS test harness · SEC06 decision · contract v0</t>
  </si>
  <si>
    <t xml:space="preserve">App shell · auth · design system · i18n framework · mock server</t>
  </si>
  <si>
    <t xml:space="preserve">Auth round-trips on real API</t>
  </si>
  <si>
    <t xml:space="preserve">0 Foundation</t>
  </si>
  <si>
    <t xml:space="preserve">RLS · encryption · chokepoint · idempotency · deploy</t>
  </si>
  <si>
    <t xml:space="preserve">Login · clinic-switch · settings scaffold (mocked)</t>
  </si>
  <si>
    <t xml:space="preserve">Tenant-scoped session end-to-end</t>
  </si>
  <si>
    <t xml:space="preserve">1A Core Bot (BE-heavy)</t>
  </si>
  <si>
    <t xml:space="preserve">KB · 5-intent pipeline · six-gate · transcription · ES/EN bot</t>
  </si>
  <si>
    <t xml:space="preserve">KB editor UI · inbox shell (mocked) · bot-mode toggle</t>
  </si>
  <si>
    <t xml:space="preserve">KB CRUD live; message hits inbox</t>
  </si>
  <si>
    <t xml:space="preserve">1B Human Inbox (FE-heavy)</t>
  </si>
  <si>
    <t xml:space="preserve">Patient/conversation/notes APIs · assignment · capture allowlist</t>
  </si>
  <si>
    <t xml:space="preserve">Unified inbox · CRM · assignment · notes · tags</t>
  </si>
  <si>
    <t xml:space="preserve">Inbox operates on real data</t>
  </si>
  <si>
    <t xml:space="preserve">1C Scheduling (balanced)</t>
  </si>
  <si>
    <t xml:space="preserve">Calendar truth · intake state machine · lifecycle</t>
  </si>
  <si>
    <t xml:space="preserve">Booking/calendar UI · appointment views</t>
  </si>
  <si>
    <t xml:space="preserve">Book → calendar + panel</t>
  </si>
  <si>
    <t xml:space="preserve">★ PILOT LAUNCH GATE</t>
  </si>
  <si>
    <t xml:space="preserve">Rate-limiting (SEC18) · backups (X12)</t>
  </si>
  <si>
    <t xml:space="preserve">Polish · empty/error states · a11y</t>
  </si>
  <si>
    <t xml:space="preserve">Launch-gate checklist green</t>
  </si>
  <si>
    <t xml:space="preserve">2A Multi-User</t>
  </si>
  <si>
    <t xml:space="preserve">RBAC · routing · notifications · invoicing</t>
  </si>
  <si>
    <t xml:space="preserve">Role mgmt · IA Studio · panel i18n · quick replies</t>
  </si>
  <si>
    <t xml:space="preserve">RBAC enforced UI + API</t>
  </si>
  <si>
    <t xml:space="preserve">2B Channels</t>
  </si>
  <si>
    <t xml:space="preserve">Messenger/IG adapters · unified pipeline</t>
  </si>
  <si>
    <t xml:space="preserve">Channel badges · connect flow · merge UI</t>
  </si>
  <si>
    <t xml:space="preserve">Cross-channel msg in one inbox</t>
  </si>
  <si>
    <t xml:space="preserve">2C Automation</t>
  </si>
  <si>
    <t xml:space="preserve">Templates · six-gate jobs · reminders</t>
  </si>
  <si>
    <t xml:space="preserve">Template manager · automation settings</t>
  </si>
  <si>
    <t xml:space="preserve">Reminder fires through six-gate</t>
  </si>
  <si>
    <t xml:space="preserve">2D Analytics</t>
  </si>
  <si>
    <t xml:space="preserve">Rollups · error-review · FTS</t>
  </si>
  <si>
    <t xml:space="preserve">Dashboards · error-review UI · search</t>
  </si>
  <si>
    <t xml:space="preserve">Charts from real rollups</t>
  </si>
  <si>
    <t xml:space="preserve">3A Multi-Doctor</t>
  </si>
  <si>
    <t xml:space="preserve">Doctor entity · per-doctor calendar/KB</t>
  </si>
  <si>
    <t xml:space="preserve">Doctor mgmt · doctor-select in booking</t>
  </si>
  <si>
    <t xml:space="preserve">Book a specific doctor</t>
  </si>
  <si>
    <t xml:space="preserve">3B Adv. Intake</t>
  </si>
  <si>
    <t xml:space="preserve">Flow engine · rule engine · copilot API</t>
  </si>
  <si>
    <t xml:space="preserve">Flow builder UI · rule editor · copilot panel</t>
  </si>
  <si>
    <t xml:space="preserve">Custom flow runs end-to-end</t>
  </si>
  <si>
    <t xml:space="preserve">3C Integrations</t>
  </si>
  <si>
    <t xml:space="preserve">OCR · Sheets/CRM export · reports</t>
  </si>
  <si>
    <t xml:space="preserve">Doc-upload · export config · report views</t>
  </si>
  <si>
    <t xml:space="preserve">OCR doc → KB; export w/ consent</t>
  </si>
  <si>
    <t xml:space="preserve">3D Mobile/PWA</t>
  </si>
  <si>
    <t xml:space="preserve">Push service (VAPID)</t>
  </si>
  <si>
    <t xml:space="preserve">PWA manifest/SW · push opt-in · responsive</t>
  </si>
  <si>
    <t xml:space="preserve">Installable PWA gets a push</t>
  </si>
  <si>
    <t xml:space="preserve">The rule that makes two agents work</t>
  </si>
  <si>
    <t xml:space="preserve">•  Backend owns packages/contracts (OpenAPI). Frontend consumes generated types + a mock until each phase's real endpoints land.</t>
  </si>
  <si>
    <t xml:space="preserve">•  Hard import boundary (CI-enforced): FE never imports apps/api; BE never imports apps/web. CODEOWNERS per workspace.</t>
  </si>
  <si>
    <t xml:space="preserve">•  Contract changes = isolated PR reviewed by both. Never bundle with feature code.</t>
  </si>
  <si>
    <t xml:space="preserve">•  When blocked, author the next contract stub or write tests — do NOT cross into the other agent's lane.</t>
  </si>
  <si>
    <t xml:space="preserve">•  Mandatory in-phase tests: RLS isolation (Phase 0), six-gate + idempotency (2C). Every PR maps to a tracker gate/gap.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</si>
</sst>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0"/>
    <numFmt numFmtId="167" formatCode="0.0"/>
    <numFmt numFmtId="168" formatCode="General"/>
    <numFmt numFmtId="169" formatCode="0\%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EEF0F3"/>
      <name val="Arial"/>
      <family val="0"/>
      <charset val="1"/>
    </font>
    <font>
      <sz val="13"/>
      <color rgb="FFEEF0F3"/>
      <name val="Arial"/>
      <family val="0"/>
      <charset val="1"/>
    </font>
    <font>
      <sz val="10"/>
      <color rgb="FFEEF0F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EEF0F3"/>
      <name val="Arial"/>
      <family val="0"/>
      <charset val="1"/>
    </font>
    <font>
      <b val="true"/>
      <sz val="14"/>
      <color rgb="FFEEF0F3"/>
      <name val="Arial"/>
      <family val="0"/>
      <charset val="1"/>
    </font>
    <font>
      <b val="true"/>
      <sz val="18"/>
      <color rgb="FFEEF0F3"/>
      <name val="Arial"/>
      <family val="0"/>
      <charset val="1"/>
    </font>
    <font>
      <b val="true"/>
      <sz val="12"/>
      <color rgb="FFEEF0F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EF0F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EEF0F3"/>
      <name val="Arial"/>
      <family val="0"/>
      <charset val="1"/>
    </font>
    <font>
      <b val="true"/>
      <sz val="12"/>
      <color rgb="FFEEF0F3"/>
      <name val="Calibri"/>
      <family val="2"/>
    </font>
    <font>
      <sz val="10"/>
      <color rgb="FFEEF0F3"/>
      <name val="Calibri"/>
      <family val="2"/>
    </font>
    <font>
      <b val="true"/>
      <sz val="10"/>
      <color rgb="FF000000"/>
      <name val="Calibri"/>
      <family val="2"/>
    </font>
    <font>
      <sz val="9"/>
      <color rgb="FFEEF0F3"/>
      <name val="Arial"/>
      <family val="0"/>
      <charset val="1"/>
    </font>
    <font>
      <b val="true"/>
      <sz val="16"/>
      <color rgb="FFEEF0F3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51A22"/>
        <bgColor rgb="FF1E2530"/>
      </patternFill>
    </fill>
    <fill>
      <patternFill patternType="solid">
        <fgColor rgb="FF1F8A8A"/>
        <bgColor rgb="FF4F81BD"/>
      </patternFill>
    </fill>
    <fill>
      <patternFill patternType="solid">
        <fgColor rgb="FF20304A"/>
        <bgColor rgb="FF223047"/>
      </patternFill>
    </fill>
    <fill>
      <patternFill patternType="solid">
        <fgColor rgb="FF1E2530"/>
        <bgColor rgb="FF151A22"/>
      </patternFill>
    </fill>
    <fill>
      <patternFill patternType="solid">
        <fgColor rgb="FF234634"/>
        <bgColor rgb="FF323844"/>
      </patternFill>
    </fill>
    <fill>
      <patternFill patternType="solid">
        <fgColor rgb="FF5A4A1E"/>
        <bgColor rgb="FF5A3A20"/>
      </patternFill>
    </fill>
    <fill>
      <patternFill patternType="solid">
        <fgColor rgb="FF5A3A20"/>
        <bgColor rgb="FF5A4A1E"/>
      </patternFill>
    </fill>
    <fill>
      <patternFill patternType="solid">
        <fgColor rgb="FF5A2730"/>
        <bgColor rgb="FF4A2230"/>
      </patternFill>
    </fill>
    <fill>
      <patternFill patternType="solid">
        <fgColor rgb="FF323844"/>
        <bgColor rgb="FF2E3543"/>
      </patternFill>
    </fill>
    <fill>
      <patternFill patternType="solid">
        <fgColor rgb="FF4A2230"/>
        <bgColor rgb="FF5A2730"/>
      </patternFill>
    </fill>
    <fill>
      <patternFill patternType="solid">
        <fgColor rgb="FF7A1F2B"/>
        <bgColor rgb="FF5A2730"/>
      </patternFill>
    </fill>
    <fill>
      <patternFill patternType="solid">
        <fgColor rgb="FF1E3A57"/>
        <bgColor rgb="FF24344A"/>
      </patternFill>
    </fill>
    <fill>
      <patternFill patternType="solid">
        <fgColor rgb="FF24344A"/>
        <bgColor rgb="FF223047"/>
      </patternFill>
    </fill>
    <fill>
      <patternFill patternType="solid">
        <fgColor rgb="FF223047"/>
        <bgColor rgb="FF2030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9414F"/>
      </left>
      <right style="thin">
        <color rgb="FF39414F"/>
      </right>
      <top style="thin">
        <color rgb="FF39414F"/>
      </top>
      <bottom style="thin">
        <color rgb="FF3941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A2730"/>
      <rgbColor rgb="FF234634"/>
      <rgbColor rgb="FF20304A"/>
      <rgbColor rgb="FF5A4A1E"/>
      <rgbColor rgb="FF323844"/>
      <rgbColor rgb="FF1F8A8A"/>
      <rgbColor rgb="FFC0C0C0"/>
      <rgbColor rgb="FF878787"/>
      <rgbColor rgb="FF9999FF"/>
      <rgbColor rgb="FFC0504D"/>
      <rgbColor rgb="FFEEF0F3"/>
      <rgbColor rgb="FFCCFFFF"/>
      <rgbColor rgb="FF4A2230"/>
      <rgbColor rgb="FFFF8080"/>
      <rgbColor rgb="FF39414F"/>
      <rgbColor rgb="FFD9D9D9"/>
      <rgbColor rgb="FF223047"/>
      <rgbColor rgb="FFFF00FF"/>
      <rgbColor rgb="FFFFFF00"/>
      <rgbColor rgb="FF00FFFF"/>
      <rgbColor rgb="FF800080"/>
      <rgbColor rgb="FF800000"/>
      <rgbColor rgb="FF2434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2DD4BF"/>
      <rgbColor rgb="FF9BBB59"/>
      <rgbColor rgb="FFFFCC00"/>
      <rgbColor rgb="FFFF9900"/>
      <rgbColor rgb="FFFF6600"/>
      <rgbColor rgb="FF8064A2"/>
      <rgbColor rgb="FF969696"/>
      <rgbColor rgb="FF1E3A57"/>
      <rgbColor rgb="FF4BACC6"/>
      <rgbColor rgb="FF151A22"/>
      <rgbColor rgb="FF1E2530"/>
      <rgbColor rgb="FF7A1F2B"/>
      <rgbColor rgb="FF5A3A20"/>
      <rgbColor rgb="FF3A4150"/>
      <rgbColor rgb="FF2E35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Phase Gantt — development timeline (weeks)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"Start"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Progress!$A$5:$A$16</c:f>
              <c:strCache>
                <c:ptCount val="12"/>
                <c:pt idx="0">
                  <c:v>0 — Foundation</c:v>
                </c:pt>
                <c:pt idx="1">
                  <c:v>1A — Core Bot</c:v>
                </c:pt>
                <c:pt idx="2">
                  <c:v>1B — Human Inbox</c:v>
                </c:pt>
                <c:pt idx="3">
                  <c:v>1C — Scheduling</c:v>
                </c:pt>
                <c:pt idx="4">
                  <c:v>2A — Multi-User Ops</c:v>
                </c:pt>
                <c:pt idx="5">
                  <c:v>2B — Channels</c:v>
                </c:pt>
                <c:pt idx="6">
                  <c:v>2C — Automation</c:v>
                </c:pt>
                <c:pt idx="7">
                  <c:v>2D — Analytics/Search</c:v>
                </c:pt>
                <c:pt idx="8">
                  <c:v>3A — Multi-Doctor</c:v>
                </c:pt>
                <c:pt idx="9">
                  <c:v>3B — Adv. Intake</c:v>
                </c:pt>
                <c:pt idx="10">
                  <c:v>3C — Integrations/OCR</c:v>
                </c:pt>
                <c:pt idx="11">
                  <c:v>3D — Mobile/PWA/Push</c:v>
                </c:pt>
              </c:strCache>
            </c:strRef>
          </c:cat>
          <c:val>
            <c:numRef>
              <c:f>Progress!$B$5:$B$16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</c:ser>
        <c:ser>
          <c:idx val="1"/>
          <c:order val="1"/>
          <c:tx>
            <c:strRef>
              <c:f>"Done"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Progress!$A$5:$A$16</c:f>
              <c:strCache>
                <c:ptCount val="12"/>
                <c:pt idx="0">
                  <c:v>0 — Foundation</c:v>
                </c:pt>
                <c:pt idx="1">
                  <c:v>1A — Core Bot</c:v>
                </c:pt>
                <c:pt idx="2">
                  <c:v>1B — Human Inbox</c:v>
                </c:pt>
                <c:pt idx="3">
                  <c:v>1C — Scheduling</c:v>
                </c:pt>
                <c:pt idx="4">
                  <c:v>2A — Multi-User Ops</c:v>
                </c:pt>
                <c:pt idx="5">
                  <c:v>2B — Channels</c:v>
                </c:pt>
                <c:pt idx="6">
                  <c:v>2C — Automation</c:v>
                </c:pt>
                <c:pt idx="7">
                  <c:v>2D — Analytics/Search</c:v>
                </c:pt>
                <c:pt idx="8">
                  <c:v>3A — Multi-Doctor</c:v>
                </c:pt>
                <c:pt idx="9">
                  <c:v>3B — Adv. Intake</c:v>
                </c:pt>
                <c:pt idx="10">
                  <c:v>3C — Integrations/OCR</c:v>
                </c:pt>
                <c:pt idx="11">
                  <c:v>3D — Mobile/PWA/Push</c:v>
                </c:pt>
              </c:strCache>
            </c:strRef>
          </c:cat>
          <c:val>
            <c:numRef>
              <c:f>Progress!$G$5:$G$16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ser>
          <c:idx val="2"/>
          <c:order val="2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3a4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Progress!$A$5:$A$16</c:f>
              <c:strCache>
                <c:ptCount val="12"/>
                <c:pt idx="0">
                  <c:v>0 — Foundation</c:v>
                </c:pt>
                <c:pt idx="1">
                  <c:v>1A — Core Bot</c:v>
                </c:pt>
                <c:pt idx="2">
                  <c:v>1B — Human Inbox</c:v>
                </c:pt>
                <c:pt idx="3">
                  <c:v>1C — Scheduling</c:v>
                </c:pt>
                <c:pt idx="4">
                  <c:v>2A — Multi-User Ops</c:v>
                </c:pt>
                <c:pt idx="5">
                  <c:v>2B — Channels</c:v>
                </c:pt>
                <c:pt idx="6">
                  <c:v>2C — Automation</c:v>
                </c:pt>
                <c:pt idx="7">
                  <c:v>2D — Analytics/Search</c:v>
                </c:pt>
                <c:pt idx="8">
                  <c:v>3A — Multi-Doctor</c:v>
                </c:pt>
                <c:pt idx="9">
                  <c:v>3B — Adv. Intake</c:v>
                </c:pt>
                <c:pt idx="10">
                  <c:v>3C — Integrations/OCR</c:v>
                </c:pt>
                <c:pt idx="11">
                  <c:v>3D — Mobile/PWA/Push</c:v>
                </c:pt>
              </c:strCache>
            </c:strRef>
          </c:cat>
          <c:val>
            <c:numRef>
              <c:f>Progress!$H$5:$H$16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5"/>
        <c:overlap val="100"/>
        <c:axId val="21041334"/>
        <c:axId val="49004504"/>
      </c:barChart>
      <c:catAx>
        <c:axId val="21041334"/>
        <c:scaling>
          <c:orientation val="minMax"/>
        </c:scaling>
        <c:delete val="0"/>
        <c:axPos val="b"/>
        <c:majorGridlines>
          <c:spPr>
            <a:ln w="9360">
              <a:solidFill>
                <a:srgbClr val="2e354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49004504"/>
        <c:crosses val="autoZero"/>
        <c:auto val="1"/>
        <c:lblAlgn val="ctr"/>
        <c:lblOffset val="100"/>
        <c:noMultiLvlLbl val="0"/>
      </c:catAx>
      <c:valAx>
        <c:axId val="4900450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21041334"/>
        <c:crosses val="autoZero"/>
        <c:crossBetween val="between"/>
      </c:valAx>
      <c:spPr>
        <a:solidFill>
          <a:srgbClr val="1e2530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Requirements Gantt — each requirement against its phase (weeks)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"Start"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Progress!$A$39:$A$70</c:f>
              <c:strCache>
                <c:ptCount val="32"/>
                <c:pt idx="0">
                  <c:v>PR01 IA Studio</c:v>
                </c:pt>
                <c:pt idx="1">
                  <c:v>PR02 Clinic Panel</c:v>
                </c:pt>
                <c:pt idx="2">
                  <c:v>PR03 Channels</c:v>
                </c:pt>
                <c:pt idx="3">
                  <c:v>PR04 Unified Inbox</c:v>
                </c:pt>
                <c:pt idx="4">
                  <c:v>PR05 Bot/Human Mode</c:v>
                </c:pt>
                <c:pt idx="5">
                  <c:v>PR06 No-Interrupt</c:v>
                </c:pt>
                <c:pt idx="6">
                  <c:v>PR07 KB</c:v>
                </c:pt>
                <c:pt idx="7">
                  <c:v>PR08 Audio</c:v>
                </c:pt>
                <c:pt idx="8">
                  <c:v>PR09 Calendar</c:v>
                </c:pt>
                <c:pt idx="9">
                  <c:v>PR10 Data Capture</c:v>
                </c:pt>
                <c:pt idx="10">
                  <c:v>PR11 Tags/Status</c:v>
                </c:pt>
                <c:pt idx="11">
                  <c:v>PR12 Assignment</c:v>
                </c:pt>
                <c:pt idx="12">
                  <c:v>PR13 Notes</c:v>
                </c:pt>
                <c:pt idx="13">
                  <c:v>PR14 Reminders</c:v>
                </c:pt>
                <c:pt idx="14">
                  <c:v>PR15 Quick Replies</c:v>
                </c:pt>
                <c:pt idx="15">
                  <c:v>PR16 History</c:v>
                </c:pt>
                <c:pt idx="16">
                  <c:v>PR17 Metrics</c:v>
                </c:pt>
                <c:pt idx="17">
                  <c:v>PR18 Alerts</c:v>
                </c:pt>
                <c:pt idx="18">
                  <c:v>PR19 Meta Compliance</c:v>
                </c:pt>
                <c:pt idx="19">
                  <c:v>PR20 Safety Rules</c:v>
                </c:pt>
                <c:pt idx="20">
                  <c:v>PR21 Panel i18n (gap)</c:v>
                </c:pt>
                <c:pt idx="21">
                  <c:v>PR22 EN Chatbot (partial)</c:v>
                </c:pt>
                <c:pt idx="22">
                  <c:v>PR23 Mobile App</c:v>
                </c:pt>
                <c:pt idx="23">
                  <c:v>PR24 Notifications</c:v>
                </c:pt>
                <c:pt idx="24">
                  <c:v>PR25 Doc Training</c:v>
                </c:pt>
                <c:pt idx="25">
                  <c:v>PR26 Tone Control</c:v>
                </c:pt>
                <c:pt idx="26">
                  <c:v>PR27 Clinic Rules</c:v>
                </c:pt>
                <c:pt idx="27">
                  <c:v>PR28 Custom Flows</c:v>
                </c:pt>
                <c:pt idx="28">
                  <c:v>PR29 Error Review</c:v>
                </c:pt>
                <c:pt idx="29">
                  <c:v>PR30 Multi-Doctor</c:v>
                </c:pt>
                <c:pt idx="30">
                  <c:v>PR31 Sheets/CRM</c:v>
                </c:pt>
                <c:pt idx="31">
                  <c:v>PR32 QoS</c:v>
                </c:pt>
              </c:strCache>
            </c:strRef>
          </c:cat>
          <c:val>
            <c:numRef>
              <c:f>Progress!$B$39:$B$70</c:f>
              <c:numCache>
                <c:formatCode>General</c:formatCode>
                <c:ptCount val="32"/>
                <c:pt idx="0">
                  <c:v>12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16</c:v>
                </c:pt>
                <c:pt idx="14">
                  <c:v>12</c:v>
                </c:pt>
                <c:pt idx="15">
                  <c:v>6</c:v>
                </c:pt>
                <c:pt idx="16">
                  <c:v>18</c:v>
                </c:pt>
                <c:pt idx="17">
                  <c:v>6</c:v>
                </c:pt>
                <c:pt idx="18">
                  <c:v>0</c:v>
                </c:pt>
                <c:pt idx="19">
                  <c:v>2</c:v>
                </c:pt>
                <c:pt idx="20">
                  <c:v>12</c:v>
                </c:pt>
                <c:pt idx="21">
                  <c:v>18</c:v>
                </c:pt>
                <c:pt idx="22">
                  <c:v>25</c:v>
                </c:pt>
                <c:pt idx="23">
                  <c:v>12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22</c:v>
                </c:pt>
                <c:pt idx="28">
                  <c:v>18</c:v>
                </c:pt>
                <c:pt idx="29">
                  <c:v>20</c:v>
                </c:pt>
                <c:pt idx="30">
                  <c:v>23</c:v>
                </c:pt>
                <c:pt idx="31">
                  <c:v>18</c:v>
                </c:pt>
              </c:numCache>
            </c:numRef>
          </c:val>
        </c:ser>
        <c:ser>
          <c:idx val="1"/>
          <c:order val="1"/>
          <c:tx>
            <c:strRef>
              <c:f>"Delivered"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Progress!$A$39:$A$70</c:f>
              <c:strCache>
                <c:ptCount val="32"/>
                <c:pt idx="0">
                  <c:v>PR01 IA Studio</c:v>
                </c:pt>
                <c:pt idx="1">
                  <c:v>PR02 Clinic Panel</c:v>
                </c:pt>
                <c:pt idx="2">
                  <c:v>PR03 Channels</c:v>
                </c:pt>
                <c:pt idx="3">
                  <c:v>PR04 Unified Inbox</c:v>
                </c:pt>
                <c:pt idx="4">
                  <c:v>PR05 Bot/Human Mode</c:v>
                </c:pt>
                <c:pt idx="5">
                  <c:v>PR06 No-Interrupt</c:v>
                </c:pt>
                <c:pt idx="6">
                  <c:v>PR07 KB</c:v>
                </c:pt>
                <c:pt idx="7">
                  <c:v>PR08 Audio</c:v>
                </c:pt>
                <c:pt idx="8">
                  <c:v>PR09 Calendar</c:v>
                </c:pt>
                <c:pt idx="9">
                  <c:v>PR10 Data Capture</c:v>
                </c:pt>
                <c:pt idx="10">
                  <c:v>PR11 Tags/Status</c:v>
                </c:pt>
                <c:pt idx="11">
                  <c:v>PR12 Assignment</c:v>
                </c:pt>
                <c:pt idx="12">
                  <c:v>PR13 Notes</c:v>
                </c:pt>
                <c:pt idx="13">
                  <c:v>PR14 Reminders</c:v>
                </c:pt>
                <c:pt idx="14">
                  <c:v>PR15 Quick Replies</c:v>
                </c:pt>
                <c:pt idx="15">
                  <c:v>PR16 History</c:v>
                </c:pt>
                <c:pt idx="16">
                  <c:v>PR17 Metrics</c:v>
                </c:pt>
                <c:pt idx="17">
                  <c:v>PR18 Alerts</c:v>
                </c:pt>
                <c:pt idx="18">
                  <c:v>PR19 Meta Compliance</c:v>
                </c:pt>
                <c:pt idx="19">
                  <c:v>PR20 Safety Rules</c:v>
                </c:pt>
                <c:pt idx="20">
                  <c:v>PR21 Panel i18n (gap)</c:v>
                </c:pt>
                <c:pt idx="21">
                  <c:v>PR22 EN Chatbot (partial)</c:v>
                </c:pt>
                <c:pt idx="22">
                  <c:v>PR23 Mobile App</c:v>
                </c:pt>
                <c:pt idx="23">
                  <c:v>PR24 Notifications</c:v>
                </c:pt>
                <c:pt idx="24">
                  <c:v>PR25 Doc Training</c:v>
                </c:pt>
                <c:pt idx="25">
                  <c:v>PR26 Tone Control</c:v>
                </c:pt>
                <c:pt idx="26">
                  <c:v>PR27 Clinic Rules</c:v>
                </c:pt>
                <c:pt idx="27">
                  <c:v>PR28 Custom Flows</c:v>
                </c:pt>
                <c:pt idx="28">
                  <c:v>PR29 Error Review</c:v>
                </c:pt>
                <c:pt idx="29">
                  <c:v>PR30 Multi-Doctor</c:v>
                </c:pt>
                <c:pt idx="30">
                  <c:v>PR31 Sheets/CRM</c:v>
                </c:pt>
                <c:pt idx="31">
                  <c:v>PR32 QoS</c:v>
                </c:pt>
              </c:strCache>
            </c:strRef>
          </c:cat>
          <c:val>
            <c:numRef>
              <c:f>Progress!$C$39:$C$70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1.4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3a4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Progress!$A$39:$A$70</c:f>
              <c:strCache>
                <c:ptCount val="32"/>
                <c:pt idx="0">
                  <c:v>PR01 IA Studio</c:v>
                </c:pt>
                <c:pt idx="1">
                  <c:v>PR02 Clinic Panel</c:v>
                </c:pt>
                <c:pt idx="2">
                  <c:v>PR03 Channels</c:v>
                </c:pt>
                <c:pt idx="3">
                  <c:v>PR04 Unified Inbox</c:v>
                </c:pt>
                <c:pt idx="4">
                  <c:v>PR05 Bot/Human Mode</c:v>
                </c:pt>
                <c:pt idx="5">
                  <c:v>PR06 No-Interrupt</c:v>
                </c:pt>
                <c:pt idx="6">
                  <c:v>PR07 KB</c:v>
                </c:pt>
                <c:pt idx="7">
                  <c:v>PR08 Audio</c:v>
                </c:pt>
                <c:pt idx="8">
                  <c:v>PR09 Calendar</c:v>
                </c:pt>
                <c:pt idx="9">
                  <c:v>PR10 Data Capture</c:v>
                </c:pt>
                <c:pt idx="10">
                  <c:v>PR11 Tags/Status</c:v>
                </c:pt>
                <c:pt idx="11">
                  <c:v>PR12 Assignment</c:v>
                </c:pt>
                <c:pt idx="12">
                  <c:v>PR13 Notes</c:v>
                </c:pt>
                <c:pt idx="13">
                  <c:v>PR14 Reminders</c:v>
                </c:pt>
                <c:pt idx="14">
                  <c:v>PR15 Quick Replies</c:v>
                </c:pt>
                <c:pt idx="15">
                  <c:v>PR16 History</c:v>
                </c:pt>
                <c:pt idx="16">
                  <c:v>PR17 Metrics</c:v>
                </c:pt>
                <c:pt idx="17">
                  <c:v>PR18 Alerts</c:v>
                </c:pt>
                <c:pt idx="18">
                  <c:v>PR19 Meta Compliance</c:v>
                </c:pt>
                <c:pt idx="19">
                  <c:v>PR20 Safety Rules</c:v>
                </c:pt>
                <c:pt idx="20">
                  <c:v>PR21 Panel i18n (gap)</c:v>
                </c:pt>
                <c:pt idx="21">
                  <c:v>PR22 EN Chatbot (partial)</c:v>
                </c:pt>
                <c:pt idx="22">
                  <c:v>PR23 Mobile App</c:v>
                </c:pt>
                <c:pt idx="23">
                  <c:v>PR24 Notifications</c:v>
                </c:pt>
                <c:pt idx="24">
                  <c:v>PR25 Doc Training</c:v>
                </c:pt>
                <c:pt idx="25">
                  <c:v>PR26 Tone Control</c:v>
                </c:pt>
                <c:pt idx="26">
                  <c:v>PR27 Clinic Rules</c:v>
                </c:pt>
                <c:pt idx="27">
                  <c:v>PR28 Custom Flows</c:v>
                </c:pt>
                <c:pt idx="28">
                  <c:v>PR29 Error Review</c:v>
                </c:pt>
                <c:pt idx="29">
                  <c:v>PR30 Multi-Doctor</c:v>
                </c:pt>
                <c:pt idx="30">
                  <c:v>PR31 Sheets/CRM</c:v>
                </c:pt>
                <c:pt idx="31">
                  <c:v>PR32 QoS</c:v>
                </c:pt>
              </c:strCache>
            </c:strRef>
          </c:cat>
          <c:val>
            <c:numRef>
              <c:f>Progress!$D$39:$D$70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</c:ser>
        <c:gapWidth val="30"/>
        <c:overlap val="100"/>
        <c:axId val="40225910"/>
        <c:axId val="60020685"/>
      </c:barChart>
      <c:catAx>
        <c:axId val="40225910"/>
        <c:scaling>
          <c:orientation val="minMax"/>
        </c:scaling>
        <c:delete val="0"/>
        <c:axPos val="b"/>
        <c:majorGridlines>
          <c:spPr>
            <a:ln w="9360">
              <a:solidFill>
                <a:srgbClr val="2e354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60020685"/>
        <c:crosses val="autoZero"/>
        <c:auto val="1"/>
        <c:lblAlgn val="ctr"/>
        <c:lblOffset val="100"/>
        <c:noMultiLvlLbl val="0"/>
      </c:catAx>
      <c:valAx>
        <c:axId val="6002068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40225910"/>
        <c:crosses val="autoZero"/>
        <c:crossBetween val="between"/>
      </c:valAx>
      <c:spPr>
        <a:solidFill>
          <a:srgbClr val="1e2530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Deployment / external actions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Progress!$A$21:$A$25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Closed (done)</c:v>
                </c:pt>
                <c:pt idx="3">
                  <c:v>Blocked/waiting</c:v>
                </c:pt>
                <c:pt idx="4">
                  <c:v>Parked</c:v>
                </c:pt>
              </c:strCache>
            </c:strRef>
          </c:cat>
          <c:val>
            <c:numRef>
              <c:f>Progress!$B$21:$B$25</c:f>
              <c:numCache>
                <c:formatCode>General</c:formatCode>
                <c:ptCount val="5"/>
                <c:pt idx="0">
                  <c:v>15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  <c:holeSize val="50"/>
      </c:doughnutChart>
      <c:spPr>
        <a:solidFill>
          <a:srgbClr val="1e253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Overall project — phases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Progress!$A$30:$A$32</c:f>
              <c:strCache>
                <c:ptCount val="3"/>
                <c:pt idx="0">
                  <c:v>Sealed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Progress!$B$30:$B$32</c:f>
              <c:numCache>
                <c:formatCode>General</c:formatCode>
                <c:ptCount val="3"/>
                <c:pt idx="0">
                  <c:v>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1e253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101160</xdr:rowOff>
    </xdr:from>
    <xdr:to>
      <xdr:col>23</xdr:col>
      <xdr:colOff>78480</xdr:colOff>
      <xdr:row>20</xdr:row>
      <xdr:rowOff>159480</xdr:rowOff>
    </xdr:to>
    <xdr:graphicFrame>
      <xdr:nvGraphicFramePr>
        <xdr:cNvPr id="0" name="Chart 1"/>
        <xdr:cNvGraphicFramePr/>
      </xdr:nvGraphicFramePr>
      <xdr:xfrm>
        <a:off x="8012520" y="5716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179280</xdr:rowOff>
    </xdr:from>
    <xdr:to>
      <xdr:col>23</xdr:col>
      <xdr:colOff>78480</xdr:colOff>
      <xdr:row>59</xdr:row>
      <xdr:rowOff>27360</xdr:rowOff>
    </xdr:to>
    <xdr:graphicFrame>
      <xdr:nvGraphicFramePr>
        <xdr:cNvPr id="1" name="Chart 2"/>
        <xdr:cNvGraphicFramePr/>
      </xdr:nvGraphicFramePr>
      <xdr:xfrm>
        <a:off x="8012520" y="4381560"/>
        <a:ext cx="863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61</xdr:row>
      <xdr:rowOff>66960</xdr:rowOff>
    </xdr:from>
    <xdr:to>
      <xdr:col>16</xdr:col>
      <xdr:colOff>39240</xdr:colOff>
      <xdr:row>76</xdr:row>
      <xdr:rowOff>88920</xdr:rowOff>
    </xdr:to>
    <xdr:graphicFrame>
      <xdr:nvGraphicFramePr>
        <xdr:cNvPr id="2" name="Chart 3"/>
        <xdr:cNvGraphicFramePr/>
      </xdr:nvGraphicFramePr>
      <xdr:xfrm>
        <a:off x="8012520" y="1200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61</xdr:row>
      <xdr:rowOff>66960</xdr:rowOff>
    </xdr:from>
    <xdr:to>
      <xdr:col>24</xdr:col>
      <xdr:colOff>39240</xdr:colOff>
      <xdr:row>76</xdr:row>
      <xdr:rowOff>88920</xdr:rowOff>
    </xdr:to>
    <xdr:graphicFrame>
      <xdr:nvGraphicFramePr>
        <xdr:cNvPr id="3" name="Chart 4"/>
        <xdr:cNvGraphicFramePr/>
      </xdr:nvGraphicFramePr>
      <xdr:xfrm>
        <a:off x="12904560" y="1200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6" min="6" style="0" width="3"/>
    <col collapsed="false" customWidth="true" hidden="false" outlineLevel="0" max="8" min="7" style="0" width="10"/>
  </cols>
  <sheetData>
    <row r="1" customFormat="false" ht="33.8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6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5" t="s">
        <v>3</v>
      </c>
      <c r="B5" s="6"/>
      <c r="C5" s="6"/>
      <c r="D5" s="6"/>
      <c r="E5" s="6"/>
      <c r="F5" s="6"/>
      <c r="G5" s="6"/>
      <c r="H5" s="6"/>
      <c r="I5" s="2"/>
      <c r="J5" s="2"/>
      <c r="K5" s="2"/>
    </row>
    <row r="6" customFormat="false" ht="17.35" hidden="false" customHeight="false" outlineLevel="0" collapsed="false">
      <c r="A6" s="7" t="s">
        <v>4</v>
      </c>
      <c r="B6" s="8"/>
      <c r="C6" s="9" t="str">
        <f aca="false">COUNTIF(Progress!E5:E16,"Sealed")&amp;" / 12"</f>
        <v>12 / 12</v>
      </c>
      <c r="D6" s="2"/>
      <c r="E6" s="2"/>
      <c r="F6" s="2"/>
      <c r="G6" s="2"/>
      <c r="H6" s="2"/>
      <c r="I6" s="2"/>
      <c r="J6" s="2"/>
      <c r="K6" s="2"/>
    </row>
    <row r="7" customFormat="false" ht="17.35" hidden="false" customHeight="false" outlineLevel="0" collapsed="false">
      <c r="A7" s="7" t="s">
        <v>5</v>
      </c>
      <c r="B7" s="8"/>
      <c r="C7" s="9" t="n">
        <f aca="false">COUNTA('Decisions Index'!A2:A80)-COUNTIF('Decisions Index'!D2:D80,"FLAGGED*")-COUNTIF('Decisions Index'!D2:D80,"PENDING*")</f>
        <v>64</v>
      </c>
      <c r="D7" s="2"/>
      <c r="E7" s="2"/>
      <c r="F7" s="2"/>
      <c r="G7" s="2"/>
      <c r="H7" s="2"/>
      <c r="I7" s="2"/>
      <c r="J7" s="2"/>
      <c r="K7" s="2"/>
    </row>
    <row r="8" customFormat="false" ht="17.35" hidden="false" customHeight="false" outlineLevel="0" collapsed="false">
      <c r="A8" s="7" t="s">
        <v>6</v>
      </c>
      <c r="B8" s="8"/>
      <c r="C8" s="9" t="n">
        <f aca="false">COUNTIF('Decisions Index'!D2:D80,"FLAGGED*")+COUNTIF('Decisions Index'!D2:D80,"PENDING*")</f>
        <v>0</v>
      </c>
      <c r="D8" s="2"/>
      <c r="E8" s="2"/>
      <c r="F8" s="2"/>
      <c r="G8" s="2"/>
      <c r="H8" s="2"/>
      <c r="I8" s="2"/>
      <c r="J8" s="2"/>
      <c r="K8" s="2"/>
    </row>
    <row r="9" customFormat="false" ht="17.35" hidden="false" customHeight="false" outlineLevel="0" collapsed="false">
      <c r="A9" s="7" t="s">
        <v>7</v>
      </c>
      <c r="B9" s="8"/>
      <c r="C9" s="9" t="n">
        <f aca="false">COUNTIF('Risk Register'!G2:G14,"Med-High")+COUNTIF('Risk Register'!G2:G14,"High")</f>
        <v>1</v>
      </c>
      <c r="D9" s="2"/>
      <c r="E9" s="2"/>
      <c r="F9" s="2"/>
      <c r="G9" s="2"/>
      <c r="H9" s="2"/>
      <c r="I9" s="2"/>
      <c r="J9" s="2"/>
      <c r="K9" s="2"/>
    </row>
    <row r="10" customFormat="false" ht="17.35" hidden="false" customHeight="false" outlineLevel="0" collapsed="false">
      <c r="A10" s="7" t="s">
        <v>8</v>
      </c>
      <c r="B10" s="8"/>
      <c r="C10" s="9" t="n">
        <f aca="false">COUNTIF('Security Audit'!H2:H26,"Open*")</f>
        <v>5</v>
      </c>
      <c r="D10" s="2"/>
      <c r="E10" s="2"/>
      <c r="F10" s="2"/>
      <c r="G10" s="2"/>
      <c r="H10" s="2"/>
      <c r="I10" s="2"/>
      <c r="J10" s="2"/>
      <c r="K10" s="2"/>
    </row>
    <row r="11" customFormat="false" ht="17.35" hidden="false" customHeight="false" outlineLevel="0" collapsed="false">
      <c r="A11" s="7" t="s">
        <v>9</v>
      </c>
      <c r="B11" s="8"/>
      <c r="C11" s="9" t="n">
        <f aca="false">COUNTIF('Platform Requirements'!D5:D36,"Partial")+COUNTIF('Platform Requirements'!D5:D36,"Gap")</f>
        <v>1</v>
      </c>
      <c r="D11" s="2"/>
      <c r="E11" s="2"/>
      <c r="F11" s="2"/>
      <c r="G11" s="2"/>
      <c r="H11" s="2"/>
      <c r="I11" s="2"/>
      <c r="J11" s="2"/>
      <c r="K11" s="2"/>
    </row>
    <row r="12" customFormat="false" ht="17.35" hidden="false" customHeight="false" outlineLevel="0" collapsed="false">
      <c r="A12" s="7" t="s">
        <v>10</v>
      </c>
      <c r="B12" s="8"/>
      <c r="C12" s="9" t="n">
        <f aca="false">'Cost Tracker'!D25</f>
        <v>650</v>
      </c>
      <c r="D12" s="2"/>
      <c r="E12" s="2"/>
      <c r="F12" s="2"/>
      <c r="G12" s="2"/>
      <c r="H12" s="2"/>
      <c r="I12" s="2"/>
      <c r="J12" s="2"/>
      <c r="K12" s="2"/>
    </row>
    <row r="13" customFormat="false" ht="17.35" hidden="false" customHeight="false" outlineLevel="0" collapsed="false">
      <c r="A13" s="7" t="s">
        <v>11</v>
      </c>
      <c r="B13" s="8"/>
      <c r="C13" s="9" t="n">
        <f aca="false">'Cost Tracker'!E25</f>
        <v>5</v>
      </c>
      <c r="D13" s="2"/>
      <c r="E13" s="2"/>
      <c r="F13" s="2"/>
      <c r="G13" s="2"/>
      <c r="H13" s="2"/>
      <c r="I13" s="2"/>
      <c r="J13" s="2"/>
      <c r="K13" s="2"/>
    </row>
    <row r="14" customFormat="false" ht="17.35" hidden="false" customHeight="false" outlineLevel="0" collapsed="false">
      <c r="A14" s="7" t="s">
        <v>12</v>
      </c>
      <c r="B14" s="8"/>
      <c r="C14" s="9" t="n">
        <f aca="false">'Cost Tracker'!G25</f>
        <v>24</v>
      </c>
      <c r="D14" s="2"/>
      <c r="E14" s="2"/>
      <c r="F14" s="2"/>
      <c r="G14" s="2"/>
      <c r="H14" s="2"/>
      <c r="I14" s="2"/>
      <c r="J14" s="2"/>
      <c r="K14" s="2"/>
    </row>
    <row r="15" customFormat="false" ht="17.35" hidden="false" customHeight="false" outlineLevel="0" collapsed="false">
      <c r="A15" s="7" t="s">
        <v>13</v>
      </c>
      <c r="B15" s="8"/>
      <c r="C15" s="10" t="n">
        <f aca="false">'Cost Tracker'!I25</f>
        <v>112</v>
      </c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5" t="s">
        <v>14</v>
      </c>
      <c r="B17" s="6"/>
      <c r="C17" s="6"/>
      <c r="D17" s="6"/>
      <c r="E17" s="6"/>
      <c r="F17" s="6"/>
      <c r="G17" s="6"/>
      <c r="H17" s="6"/>
      <c r="I17" s="2"/>
      <c r="J17" s="2"/>
      <c r="K17" s="2"/>
    </row>
    <row r="18" customFormat="false" ht="15" hidden="false" customHeight="false" outlineLevel="0" collapsed="false">
      <c r="A18" s="11" t="s">
        <v>15</v>
      </c>
      <c r="B18" s="12"/>
      <c r="C18" s="2"/>
      <c r="D18" s="2"/>
      <c r="E18" s="11" t="s">
        <v>16</v>
      </c>
      <c r="F18" s="12"/>
      <c r="G18" s="2"/>
      <c r="H18" s="2"/>
      <c r="I18" s="2"/>
      <c r="J18" s="2"/>
      <c r="K18" s="2"/>
    </row>
    <row r="19" customFormat="false" ht="15" hidden="false" customHeight="false" outlineLevel="0" collapsed="false">
      <c r="A19" s="11" t="s">
        <v>17</v>
      </c>
      <c r="B19" s="12"/>
      <c r="C19" s="2"/>
      <c r="D19" s="2"/>
      <c r="E19" s="11" t="s">
        <v>18</v>
      </c>
      <c r="F19" s="12"/>
      <c r="G19" s="2"/>
      <c r="H19" s="2"/>
      <c r="I19" s="2"/>
      <c r="J19" s="2"/>
      <c r="K19" s="2"/>
    </row>
    <row r="20" customFormat="false" ht="15" hidden="false" customHeight="false" outlineLevel="0" collapsed="false">
      <c r="A20" s="11" t="s">
        <v>19</v>
      </c>
      <c r="B20" s="12"/>
      <c r="C20" s="2"/>
      <c r="D20" s="2"/>
      <c r="E20" s="11" t="s">
        <v>20</v>
      </c>
      <c r="F20" s="12"/>
      <c r="G20" s="2"/>
      <c r="H20" s="2"/>
      <c r="I20" s="2"/>
      <c r="J20" s="2"/>
      <c r="K20" s="2"/>
    </row>
    <row r="21" customFormat="false" ht="15" hidden="false" customHeight="false" outlineLevel="0" collapsed="false">
      <c r="A21" s="11" t="s">
        <v>21</v>
      </c>
      <c r="B21" s="12"/>
      <c r="C21" s="2"/>
      <c r="D21" s="2"/>
      <c r="E21" s="11" t="s">
        <v>22</v>
      </c>
      <c r="F21" s="12"/>
      <c r="G21" s="2"/>
      <c r="H21" s="2"/>
      <c r="I21" s="2"/>
      <c r="J21" s="2"/>
      <c r="K21" s="2"/>
    </row>
    <row r="22" customFormat="false" ht="15" hidden="false" customHeight="false" outlineLevel="0" collapsed="false">
      <c r="A22" s="11" t="s">
        <v>23</v>
      </c>
      <c r="B22" s="12"/>
      <c r="C22" s="2"/>
      <c r="D22" s="2"/>
      <c r="E22" s="11" t="s">
        <v>24</v>
      </c>
      <c r="F22" s="12"/>
      <c r="G22" s="2"/>
      <c r="H22" s="2"/>
      <c r="I22" s="2"/>
      <c r="J22" s="2"/>
      <c r="K22" s="2"/>
    </row>
    <row r="23" customFormat="false" ht="15" hidden="false" customHeight="false" outlineLevel="0" collapsed="false">
      <c r="A23" s="11" t="s">
        <v>25</v>
      </c>
      <c r="B23" s="12"/>
      <c r="C23" s="2"/>
      <c r="D23" s="2"/>
      <c r="E23" s="11" t="s">
        <v>26</v>
      </c>
      <c r="F23" s="12"/>
      <c r="G23" s="2"/>
      <c r="H23" s="2"/>
      <c r="I23" s="2"/>
      <c r="J23" s="2"/>
      <c r="K23" s="2"/>
    </row>
    <row r="24" customFormat="false" ht="15" hidden="false" customHeight="false" outlineLevel="0" collapsed="false">
      <c r="A24" s="11" t="s">
        <v>27</v>
      </c>
      <c r="B24" s="12"/>
      <c r="C24" s="2"/>
      <c r="D24" s="2"/>
      <c r="E24" s="11" t="s">
        <v>28</v>
      </c>
      <c r="F24" s="12"/>
      <c r="G24" s="2"/>
      <c r="H24" s="2"/>
      <c r="I24" s="2"/>
      <c r="J24" s="2"/>
      <c r="K24" s="2"/>
    </row>
    <row r="25" customFormat="false" ht="15" hidden="false" customHeight="false" outlineLevel="0" collapsed="false">
      <c r="A25" s="11" t="s">
        <v>29</v>
      </c>
      <c r="B25" s="12"/>
      <c r="C25" s="2"/>
      <c r="D25" s="2"/>
      <c r="E25" s="11" t="s">
        <v>30</v>
      </c>
      <c r="F25" s="12"/>
      <c r="G25" s="2"/>
      <c r="H25" s="2"/>
      <c r="I25" s="2"/>
      <c r="J25" s="2"/>
      <c r="K25" s="2"/>
    </row>
    <row r="26" customFormat="false" ht="15" hidden="false" customHeight="false" outlineLevel="0" collapsed="false">
      <c r="A26" s="4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5" t="s">
        <v>32</v>
      </c>
      <c r="B28" s="6"/>
      <c r="C28" s="6"/>
      <c r="D28" s="6"/>
      <c r="E28" s="6"/>
      <c r="F28" s="6"/>
      <c r="G28" s="6"/>
      <c r="H28" s="6"/>
      <c r="I28" s="2"/>
      <c r="J28" s="2"/>
      <c r="K28" s="2"/>
    </row>
    <row r="29" customFormat="false" ht="15" hidden="false" customHeight="false" outlineLevel="0" collapsed="false">
      <c r="A29" s="7" t="s">
        <v>33</v>
      </c>
      <c r="B29" s="8"/>
      <c r="C29" s="8"/>
      <c r="D29" s="8"/>
      <c r="E29" s="8"/>
      <c r="F29" s="8"/>
      <c r="G29" s="8"/>
      <c r="H29" s="8"/>
      <c r="I29" s="2"/>
      <c r="J29" s="2"/>
      <c r="K29" s="2"/>
    </row>
    <row r="30" customFormat="false" ht="15" hidden="false" customHeight="false" outlineLevel="0" collapsed="false">
      <c r="A30" s="7" t="s">
        <v>34</v>
      </c>
      <c r="B30" s="8"/>
      <c r="C30" s="8"/>
      <c r="D30" s="8"/>
      <c r="E30" s="8"/>
      <c r="F30" s="8"/>
      <c r="G30" s="8"/>
      <c r="H30" s="8"/>
      <c r="I30" s="2"/>
      <c r="J30" s="2"/>
      <c r="K30" s="2"/>
    </row>
    <row r="31" customFormat="false" ht="15" hidden="false" customHeight="false" outlineLevel="0" collapsed="false">
      <c r="A31" s="7" t="s">
        <v>35</v>
      </c>
      <c r="B31" s="8"/>
      <c r="C31" s="8"/>
      <c r="D31" s="8"/>
      <c r="E31" s="8"/>
      <c r="F31" s="8"/>
      <c r="G31" s="8"/>
      <c r="H31" s="8"/>
      <c r="I31" s="2"/>
      <c r="J31" s="2"/>
      <c r="K31" s="2"/>
    </row>
    <row r="32" customFormat="false" ht="15" hidden="false" customHeight="false" outlineLevel="0" collapsed="false">
      <c r="A32" s="7" t="s">
        <v>36</v>
      </c>
      <c r="B32" s="8"/>
      <c r="C32" s="8"/>
      <c r="D32" s="8"/>
      <c r="E32" s="8"/>
      <c r="F32" s="8"/>
      <c r="G32" s="8"/>
      <c r="H32" s="8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5" t="s">
        <v>37</v>
      </c>
      <c r="B34" s="6"/>
      <c r="C34" s="6"/>
      <c r="D34" s="6"/>
      <c r="E34" s="6"/>
      <c r="F34" s="6"/>
      <c r="G34" s="6"/>
      <c r="H34" s="6"/>
      <c r="I34" s="2"/>
      <c r="J34" s="2"/>
      <c r="K34" s="2"/>
    </row>
    <row r="35" customFormat="false" ht="17.35" hidden="false" customHeight="false" outlineLevel="0" collapsed="false">
      <c r="A35" s="7" t="s">
        <v>38</v>
      </c>
      <c r="B35" s="8"/>
      <c r="C35" s="9" t="n">
        <f aca="false">COUNT('Decisions Index'!E2:E80)</f>
        <v>64</v>
      </c>
      <c r="D35" s="2"/>
      <c r="E35" s="2"/>
      <c r="F35" s="2"/>
      <c r="G35" s="2"/>
      <c r="H35" s="2"/>
      <c r="I35" s="2"/>
      <c r="J35" s="2"/>
      <c r="K35" s="2"/>
    </row>
    <row r="36" customFormat="false" ht="17.35" hidden="false" customHeight="false" outlineLevel="0" collapsed="false">
      <c r="A36" s="7" t="s">
        <v>39</v>
      </c>
      <c r="B36" s="8"/>
      <c r="C36" s="13" t="n">
        <f aca="false">ROUND(AVERAGE('Decisions Index'!E2:E80),2)</f>
        <v>8.48</v>
      </c>
      <c r="D36" s="2"/>
      <c r="E36" s="2"/>
      <c r="F36" s="2"/>
      <c r="G36" s="2"/>
      <c r="H36" s="2"/>
      <c r="I36" s="2"/>
      <c r="J36" s="2"/>
      <c r="K36" s="2"/>
    </row>
    <row r="37" customFormat="false" ht="17.35" hidden="false" customHeight="false" outlineLevel="0" collapsed="false">
      <c r="A37" s="7" t="s">
        <v>40</v>
      </c>
      <c r="B37" s="8"/>
      <c r="C37" s="14" t="n">
        <f aca="false">MIN('Decisions Index'!E2:E80)</f>
        <v>7.5</v>
      </c>
      <c r="D37" s="2"/>
      <c r="E37" s="2"/>
      <c r="F37" s="2"/>
      <c r="G37" s="2"/>
      <c r="H37" s="2"/>
      <c r="I37" s="2"/>
      <c r="J37" s="2"/>
      <c r="K37" s="2"/>
    </row>
    <row r="38" customFormat="false" ht="17.35" hidden="false" customHeight="false" outlineLevel="0" collapsed="false">
      <c r="A38" s="7" t="s">
        <v>41</v>
      </c>
      <c r="B38" s="8"/>
      <c r="C38" s="9" t="n">
        <f aca="false">COUNTIF('Decisions Index'!E2:E80,"&gt;=9")</f>
        <v>6</v>
      </c>
      <c r="D38" s="2"/>
      <c r="E38" s="2"/>
      <c r="F38" s="2"/>
      <c r="G38" s="2"/>
      <c r="H38" s="2"/>
      <c r="I38" s="2"/>
      <c r="J38" s="2"/>
      <c r="K38" s="2"/>
    </row>
    <row r="39" customFormat="false" ht="17.35" hidden="false" customHeight="false" outlineLevel="0" collapsed="false">
      <c r="A39" s="7" t="s">
        <v>42</v>
      </c>
      <c r="B39" s="8"/>
      <c r="C39" s="9" t="n">
        <f aca="false">COUNTIF('Decisions Index'!E2:E80,8.5)</f>
        <v>50</v>
      </c>
      <c r="D39" s="2"/>
      <c r="E39" s="2"/>
      <c r="F39" s="2"/>
      <c r="G39" s="2"/>
      <c r="H39" s="2"/>
      <c r="I39" s="2"/>
      <c r="J39" s="2"/>
      <c r="K39" s="2"/>
    </row>
    <row r="40" customFormat="false" ht="17.35" hidden="false" customHeight="false" outlineLevel="0" collapsed="false">
      <c r="A40" s="7" t="s">
        <v>43</v>
      </c>
      <c r="B40" s="8"/>
      <c r="C40" s="9" t="n">
        <f aca="false">COUNTIF('Decisions Index'!E2:E80,8)</f>
        <v>7</v>
      </c>
      <c r="D40" s="2"/>
      <c r="E40" s="2"/>
      <c r="F40" s="2"/>
      <c r="G40" s="2"/>
      <c r="H40" s="2"/>
      <c r="I40" s="2"/>
      <c r="J40" s="2"/>
      <c r="K40" s="2"/>
    </row>
    <row r="41" customFormat="false" ht="17.35" hidden="false" customHeight="false" outlineLevel="0" collapsed="false">
      <c r="A41" s="7" t="s">
        <v>44</v>
      </c>
      <c r="B41" s="8"/>
      <c r="C41" s="9" t="n">
        <f aca="false">COUNTIF('Decisions Index'!E2:E80,"&lt;8")</f>
        <v>1</v>
      </c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7" t="s">
        <v>45</v>
      </c>
      <c r="B43" s="8"/>
      <c r="C43" s="8"/>
      <c r="D43" s="8"/>
      <c r="E43" s="8"/>
      <c r="F43" s="8"/>
      <c r="G43" s="8"/>
      <c r="H43" s="8"/>
      <c r="I43" s="2"/>
      <c r="J43" s="2"/>
      <c r="K43" s="2"/>
    </row>
    <row r="44" customFormat="false" ht="15" hidden="false" customHeight="false" outlineLevel="0" collapsed="false">
      <c r="A44" s="15" t="s">
        <v>46</v>
      </c>
      <c r="B44" s="8"/>
      <c r="C44" s="8"/>
      <c r="D44" s="8"/>
      <c r="E44" s="8"/>
      <c r="F44" s="8"/>
      <c r="G44" s="8"/>
      <c r="H44" s="8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4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22.05" hidden="false" customHeight="false" outlineLevel="0" collapsed="false">
      <c r="A1" s="16" t="s">
        <v>47</v>
      </c>
      <c r="B1" s="2"/>
      <c r="C1" s="2"/>
      <c r="D1" s="2"/>
      <c r="E1" s="2"/>
    </row>
    <row r="2" customFormat="false" ht="15" hidden="false" customHeight="false" outlineLevel="0" collapsed="false">
      <c r="A2" s="4" t="s">
        <v>48</v>
      </c>
      <c r="B2" s="2"/>
      <c r="C2" s="2"/>
      <c r="D2" s="2"/>
      <c r="E2" s="2"/>
    </row>
    <row r="3" customFormat="false" ht="15" hidden="false" customHeight="false" outlineLevel="0" collapsed="false">
      <c r="A3" s="4" t="s">
        <v>49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17" t="s">
        <v>50</v>
      </c>
      <c r="B5" s="2"/>
      <c r="C5" s="2"/>
      <c r="D5" s="2"/>
      <c r="E5" s="2"/>
    </row>
    <row r="6" customFormat="false" ht="15" hidden="false" customHeight="false" outlineLevel="0" collapsed="false">
      <c r="A6" s="18" t="s">
        <v>51</v>
      </c>
      <c r="B6" s="18" t="s">
        <v>52</v>
      </c>
      <c r="C6" s="2"/>
      <c r="D6" s="2"/>
      <c r="E6" s="2"/>
    </row>
    <row r="7" customFormat="false" ht="15" hidden="false" customHeight="false" outlineLevel="0" collapsed="false">
      <c r="A7" s="19" t="s">
        <v>53</v>
      </c>
      <c r="B7" s="20" t="s">
        <v>54</v>
      </c>
      <c r="C7" s="2"/>
      <c r="D7" s="2"/>
      <c r="E7" s="2"/>
    </row>
    <row r="8" customFormat="false" ht="15" hidden="false" customHeight="false" outlineLevel="0" collapsed="false">
      <c r="A8" s="19" t="s">
        <v>55</v>
      </c>
      <c r="B8" s="20" t="s">
        <v>54</v>
      </c>
      <c r="C8" s="2"/>
      <c r="D8" s="2"/>
      <c r="E8" s="2"/>
    </row>
    <row r="9" customFormat="false" ht="15" hidden="false" customHeight="false" outlineLevel="0" collapsed="false">
      <c r="A9" s="19" t="s">
        <v>56</v>
      </c>
      <c r="B9" s="20" t="s">
        <v>54</v>
      </c>
      <c r="C9" s="2"/>
      <c r="D9" s="2"/>
      <c r="E9" s="2"/>
    </row>
    <row r="10" customFormat="false" ht="15" hidden="false" customHeight="false" outlineLevel="0" collapsed="false">
      <c r="A10" s="19" t="s">
        <v>57</v>
      </c>
      <c r="B10" s="20" t="s">
        <v>54</v>
      </c>
      <c r="C10" s="2"/>
      <c r="D10" s="2"/>
      <c r="E10" s="2"/>
    </row>
    <row r="11" customFormat="false" ht="15" hidden="false" customHeight="false" outlineLevel="0" collapsed="false">
      <c r="A11" s="19" t="s">
        <v>58</v>
      </c>
      <c r="B11" s="20" t="s">
        <v>54</v>
      </c>
      <c r="C11" s="2"/>
      <c r="D11" s="2"/>
      <c r="E11" s="2"/>
    </row>
    <row r="12" customFormat="false" ht="15" hidden="false" customHeight="false" outlineLevel="0" collapsed="false">
      <c r="A12" s="19" t="s">
        <v>59</v>
      </c>
      <c r="B12" s="20" t="s">
        <v>54</v>
      </c>
      <c r="C12" s="2"/>
      <c r="D12" s="2"/>
      <c r="E12" s="2"/>
    </row>
    <row r="13" customFormat="false" ht="15" hidden="false" customHeight="false" outlineLevel="0" collapsed="false">
      <c r="A13" s="19" t="s">
        <v>60</v>
      </c>
      <c r="B13" s="20" t="s">
        <v>54</v>
      </c>
      <c r="C13" s="2"/>
      <c r="D13" s="2"/>
      <c r="E13" s="2"/>
    </row>
    <row r="14" customFormat="false" ht="15" hidden="false" customHeight="false" outlineLevel="0" collapsed="false">
      <c r="A14" s="19" t="s">
        <v>61</v>
      </c>
      <c r="B14" s="20" t="s">
        <v>54</v>
      </c>
      <c r="C14" s="2"/>
      <c r="D14" s="2"/>
      <c r="E14" s="2"/>
    </row>
    <row r="15" customFormat="false" ht="15" hidden="false" customHeight="false" outlineLevel="0" collapsed="false">
      <c r="A15" s="19" t="s">
        <v>62</v>
      </c>
      <c r="B15" s="20" t="s">
        <v>54</v>
      </c>
      <c r="C15" s="2"/>
      <c r="D15" s="2"/>
      <c r="E15" s="2"/>
    </row>
    <row r="16" customFormat="false" ht="15" hidden="false" customHeight="false" outlineLevel="0" collapsed="false">
      <c r="A16" s="19" t="s">
        <v>63</v>
      </c>
      <c r="B16" s="20" t="s">
        <v>54</v>
      </c>
      <c r="C16" s="2"/>
      <c r="D16" s="2"/>
      <c r="E16" s="2"/>
    </row>
    <row r="17" customFormat="false" ht="15" hidden="false" customHeight="false" outlineLevel="0" collapsed="false">
      <c r="A17" s="19" t="s">
        <v>64</v>
      </c>
      <c r="B17" s="20" t="s">
        <v>54</v>
      </c>
      <c r="C17" s="2"/>
      <c r="D17" s="2"/>
      <c r="E17" s="2"/>
    </row>
    <row r="18" customFormat="false" ht="15" hidden="false" customHeight="false" outlineLevel="0" collapsed="false">
      <c r="A18" s="19" t="s">
        <v>65</v>
      </c>
      <c r="B18" s="20" t="s">
        <v>54</v>
      </c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17" t="s">
        <v>66</v>
      </c>
      <c r="B20" s="2"/>
      <c r="C20" s="2"/>
      <c r="D20" s="2"/>
      <c r="E20" s="2"/>
    </row>
    <row r="21" customFormat="false" ht="15" hidden="false" customHeight="false" outlineLevel="0" collapsed="false">
      <c r="A21" s="18" t="s">
        <v>67</v>
      </c>
      <c r="B21" s="18" t="s">
        <v>68</v>
      </c>
      <c r="C21" s="2"/>
      <c r="D21" s="2"/>
      <c r="E21" s="2"/>
    </row>
    <row r="22" customFormat="false" ht="15" hidden="false" customHeight="false" outlineLevel="0" collapsed="false">
      <c r="A22" s="19" t="s">
        <v>69</v>
      </c>
      <c r="B22" s="19" t="n">
        <f aca="false">COUNTIF('Risk Register'!G2:G14,"Med-High")</f>
        <v>1</v>
      </c>
      <c r="C22" s="2"/>
      <c r="D22" s="2"/>
      <c r="E22" s="2"/>
    </row>
    <row r="23" customFormat="false" ht="15" hidden="false" customHeight="false" outlineLevel="0" collapsed="false">
      <c r="A23" s="19" t="s">
        <v>70</v>
      </c>
      <c r="B23" s="19" t="n">
        <f aca="false">COUNTIF('Risk Register'!G2:G14,"Medium")</f>
        <v>4</v>
      </c>
      <c r="C23" s="2"/>
      <c r="D23" s="2"/>
      <c r="E23" s="2"/>
    </row>
    <row r="24" customFormat="false" ht="15" hidden="false" customHeight="false" outlineLevel="0" collapsed="false">
      <c r="A24" s="19" t="s">
        <v>71</v>
      </c>
      <c r="B24" s="19" t="n">
        <f aca="false">COUNTIF('Risk Register'!G2:G14,"Low")</f>
        <v>8</v>
      </c>
      <c r="C24" s="2"/>
      <c r="D24" s="2"/>
      <c r="E24" s="2"/>
    </row>
    <row r="25" customFormat="false" ht="15" hidden="false" customHeight="false" outlineLevel="0" collapsed="false">
      <c r="A25" s="19" t="s">
        <v>72</v>
      </c>
      <c r="B25" s="19" t="n">
        <f aca="false">COUNTIF('Action Tracker'!F2:F21,"Not started")</f>
        <v>15</v>
      </c>
      <c r="C25" s="2"/>
      <c r="D25" s="2"/>
      <c r="E25" s="2"/>
    </row>
    <row r="26" customFormat="false" ht="15" hidden="false" customHeight="false" outlineLevel="0" collapsed="false">
      <c r="A26" s="19" t="s">
        <v>73</v>
      </c>
      <c r="B26" s="19" t="n">
        <f aca="false">COUNTIF('Action Tracker'!F2:F21,"In progress")</f>
        <v>2</v>
      </c>
      <c r="C26" s="2"/>
      <c r="D26" s="2"/>
      <c r="E26" s="2"/>
    </row>
    <row r="27" customFormat="false" ht="15" hidden="false" customHeight="false" outlineLevel="0" collapsed="false">
      <c r="A27" s="19" t="s">
        <v>74</v>
      </c>
      <c r="B27" s="19" t="n">
        <f aca="false">COUNTIF('Action Tracker'!F2:F21,"Blocked/waiting")</f>
        <v>1</v>
      </c>
      <c r="C27" s="2"/>
      <c r="D27" s="2"/>
      <c r="E27" s="2"/>
    </row>
    <row r="28" customFormat="false" ht="15" hidden="false" customHeight="false" outlineLevel="0" collapsed="false">
      <c r="A28" s="19" t="s">
        <v>75</v>
      </c>
      <c r="B28" s="19" t="n">
        <f aca="false">COUNTIF('Action Tracker'!F2:F21,"Closed*")</f>
        <v>1</v>
      </c>
      <c r="C28" s="2"/>
      <c r="D28" s="2"/>
      <c r="E28" s="2"/>
    </row>
    <row r="29" customFormat="false" ht="15" hidden="false" customHeight="false" outlineLevel="0" collapsed="false">
      <c r="A29" s="19" t="s">
        <v>76</v>
      </c>
      <c r="B29" s="19" t="n">
        <f aca="false">COUNTIF('Action Tracker'!F2:F21,"Parked")</f>
        <v>1</v>
      </c>
      <c r="C29" s="2"/>
      <c r="D29" s="2"/>
      <c r="E29" s="2"/>
    </row>
    <row r="30" customFormat="false" ht="15" hidden="false" customHeight="false" outlineLevel="0" collapsed="false">
      <c r="A30" s="19" t="s">
        <v>77</v>
      </c>
      <c r="B30" s="19" t="n">
        <f aca="false">COUNTIF(B7:B18,"Sealed")</f>
        <v>12</v>
      </c>
      <c r="C30" s="2"/>
      <c r="D30" s="2"/>
      <c r="E30" s="2"/>
    </row>
    <row r="31" customFormat="false" ht="15" hidden="false" customHeight="false" outlineLevel="0" collapsed="false">
      <c r="A31" s="19" t="s">
        <v>78</v>
      </c>
      <c r="B31" s="19" t="n">
        <f aca="false">COUNTIF('Security Audit'!H2:H26,"Open*")</f>
        <v>5</v>
      </c>
      <c r="C31" s="2"/>
      <c r="D31" s="2"/>
      <c r="E31" s="2"/>
    </row>
    <row r="32" customFormat="false" ht="15" hidden="false" customHeight="false" outlineLevel="0" collapsed="false">
      <c r="A32" s="19" t="s">
        <v>79</v>
      </c>
      <c r="B32" s="19" t="n">
        <f aca="false">COUNTIF('Platform Requirements'!D5:D36,"Partial")+COUNTIF('Platform Requirements'!D5:D36,"Gap")</f>
        <v>1</v>
      </c>
      <c r="C32" s="2"/>
      <c r="D32" s="2"/>
      <c r="E32" s="2"/>
    </row>
    <row r="33" customFormat="false" ht="15" hidden="false" customHeight="false" outlineLevel="0" collapsed="false">
      <c r="A33" s="17" t="s">
        <v>80</v>
      </c>
      <c r="B33" s="2"/>
      <c r="C33" s="2"/>
      <c r="D33" s="2"/>
      <c r="E33" s="2"/>
    </row>
    <row r="34" customFormat="false" ht="15" hidden="false" customHeight="false" outlineLevel="0" collapsed="false">
      <c r="A34" s="18" t="s">
        <v>81</v>
      </c>
      <c r="B34" s="18" t="s">
        <v>82</v>
      </c>
      <c r="C34" s="2"/>
      <c r="D34" s="2"/>
      <c r="E34" s="2"/>
    </row>
    <row r="35" customFormat="false" ht="15" hidden="false" customHeight="false" outlineLevel="0" collapsed="false">
      <c r="A35" s="19" t="s">
        <v>83</v>
      </c>
      <c r="B35" s="19" t="s">
        <v>84</v>
      </c>
      <c r="C35" s="2"/>
      <c r="D35" s="2"/>
      <c r="E35" s="2"/>
    </row>
    <row r="36" customFormat="false" ht="15" hidden="false" customHeight="false" outlineLevel="0" collapsed="false">
      <c r="A36" s="19" t="s">
        <v>85</v>
      </c>
      <c r="B36" s="19" t="s">
        <v>86</v>
      </c>
      <c r="C36" s="2"/>
      <c r="D36" s="2"/>
      <c r="E36" s="2"/>
    </row>
    <row r="37" customFormat="false" ht="15" hidden="false" customHeight="false" outlineLevel="0" collapsed="false">
      <c r="A37" s="19" t="s">
        <v>87</v>
      </c>
      <c r="B37" s="19" t="s">
        <v>88</v>
      </c>
      <c r="C37" s="2"/>
      <c r="D37" s="2"/>
      <c r="E37" s="2"/>
    </row>
    <row r="38" customFormat="false" ht="23.85" hidden="false" customHeight="false" outlineLevel="0" collapsed="false">
      <c r="A38" s="19" t="s">
        <v>89</v>
      </c>
      <c r="B38" s="19" t="s">
        <v>90</v>
      </c>
      <c r="C38" s="2"/>
      <c r="D38" s="2"/>
      <c r="E38" s="2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2"/>
      <c r="B40" s="2"/>
      <c r="C40" s="2"/>
      <c r="D40" s="2"/>
      <c r="E40" s="2"/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2"/>
      <c r="B42" s="2"/>
      <c r="C42" s="2"/>
      <c r="D42" s="2"/>
      <c r="E42" s="2"/>
    </row>
    <row r="43" customFormat="false" ht="15" hidden="false" customHeight="false" outlineLevel="0" collapsed="false">
      <c r="A43" s="2"/>
      <c r="B43" s="2"/>
      <c r="C43" s="2"/>
      <c r="D43" s="2"/>
      <c r="E43" s="2"/>
    </row>
    <row r="44" customFormat="false" ht="15" hidden="false" customHeight="false" outlineLevel="0" collapsed="false">
      <c r="A44" s="2"/>
      <c r="B44" s="2"/>
      <c r="C44" s="2"/>
      <c r="D44" s="2"/>
      <c r="E44" s="2"/>
    </row>
    <row r="45" customFormat="false" ht="15" hidden="false" customHeight="false" outlineLevel="0" collapsed="false">
      <c r="A45" s="2"/>
      <c r="B45" s="2"/>
      <c r="C45" s="2"/>
      <c r="D45" s="2"/>
      <c r="E45" s="2"/>
    </row>
    <row r="46" customFormat="false" ht="15" hidden="false" customHeight="false" outlineLevel="0" collapsed="false">
      <c r="A46" s="2"/>
      <c r="B46" s="2"/>
      <c r="C46" s="2"/>
      <c r="D46" s="2"/>
      <c r="E46" s="2"/>
    </row>
    <row r="47" customFormat="false" ht="15" hidden="false" customHeight="false" outlineLevel="0" collapsed="false">
      <c r="A47" s="2"/>
      <c r="B47" s="2"/>
      <c r="C47" s="2"/>
      <c r="D47" s="2"/>
      <c r="E47" s="2"/>
    </row>
    <row r="48" customFormat="false" ht="15" hidden="false" customHeight="false" outlineLevel="0" collapsed="false">
      <c r="A48" s="2"/>
      <c r="B48" s="2"/>
      <c r="C48" s="2"/>
      <c r="D48" s="2"/>
      <c r="E48" s="2"/>
    </row>
    <row r="49" customFormat="false" ht="15" hidden="false" customHeight="false" outlineLevel="0" collapsed="false">
      <c r="A49" s="2"/>
      <c r="B49" s="2"/>
      <c r="C49" s="2"/>
      <c r="D49" s="2"/>
      <c r="E49" s="2"/>
    </row>
    <row r="50" customFormat="false" ht="15" hidden="false" customHeight="false" outlineLevel="0" collapsed="false">
      <c r="A50" s="2"/>
      <c r="B50" s="2"/>
      <c r="C50" s="2"/>
      <c r="D50" s="2"/>
      <c r="E50" s="2"/>
    </row>
    <row r="51" customFormat="false" ht="15" hidden="false" customHeight="false" outlineLevel="0" collapsed="false">
      <c r="A51" s="2"/>
      <c r="B51" s="2"/>
      <c r="C51" s="2"/>
      <c r="D51" s="2"/>
      <c r="E51" s="2"/>
    </row>
    <row r="52" customFormat="false" ht="15" hidden="false" customHeight="false" outlineLevel="0" collapsed="false">
      <c r="A52" s="2"/>
      <c r="B52" s="2"/>
      <c r="C52" s="2"/>
      <c r="D52" s="2"/>
      <c r="E52" s="2"/>
    </row>
    <row r="53" customFormat="false" ht="15" hidden="false" customHeight="false" outlineLevel="0" collapsed="false">
      <c r="A53" s="2"/>
      <c r="B53" s="2"/>
      <c r="C53" s="2"/>
      <c r="D53" s="2"/>
      <c r="E53" s="2"/>
    </row>
    <row r="54" customFormat="false" ht="15" hidden="false" customHeight="false" outlineLevel="0" collapsed="false">
      <c r="A54" s="2"/>
      <c r="B54" s="2"/>
      <c r="C54" s="2"/>
      <c r="D54" s="2"/>
      <c r="E54" s="2"/>
    </row>
    <row r="55" customFormat="false" ht="15" hidden="false" customHeight="false" outlineLevel="0" collapsed="false">
      <c r="A55" s="2"/>
      <c r="B55" s="2"/>
      <c r="C55" s="2"/>
      <c r="D55" s="2"/>
      <c r="E55" s="2"/>
    </row>
    <row r="56" customFormat="false" ht="15" hidden="false" customHeight="false" outlineLevel="0" collapsed="false">
      <c r="A56" s="2"/>
      <c r="B56" s="2"/>
      <c r="C56" s="2"/>
      <c r="D56" s="2"/>
      <c r="E56" s="2"/>
    </row>
    <row r="57" customFormat="false" ht="15" hidden="false" customHeight="false" outlineLevel="0" collapsed="false">
      <c r="A57" s="2"/>
      <c r="B57" s="2"/>
      <c r="C57" s="2"/>
      <c r="D57" s="2"/>
      <c r="E57" s="2"/>
    </row>
    <row r="58" customFormat="false" ht="15" hidden="false" customHeight="false" outlineLevel="0" collapsed="false">
      <c r="A58" s="2"/>
      <c r="B58" s="2"/>
      <c r="C58" s="2"/>
      <c r="D58" s="2"/>
      <c r="E58" s="2"/>
    </row>
    <row r="59" customFormat="false" ht="15" hidden="false" customHeight="false" outlineLevel="0" collapsed="false">
      <c r="A59" s="2"/>
      <c r="B59" s="2"/>
      <c r="C59" s="2"/>
      <c r="D59" s="2"/>
      <c r="E59" s="2"/>
    </row>
    <row r="60" customFormat="false" ht="15" hidden="false" customHeight="false" outlineLevel="0" collapsed="false">
      <c r="A60" s="2"/>
      <c r="B60" s="2"/>
      <c r="C60" s="2"/>
      <c r="D60" s="2"/>
      <c r="E60" s="2"/>
    </row>
    <row r="61" customFormat="false" ht="15" hidden="false" customHeight="false" outlineLevel="0" collapsed="false">
      <c r="A61" s="2"/>
      <c r="B61" s="2"/>
      <c r="C61" s="2"/>
      <c r="D61" s="2"/>
      <c r="E61" s="2"/>
    </row>
    <row r="62" customFormat="false" ht="15" hidden="false" customHeight="false" outlineLevel="0" collapsed="false">
      <c r="A62" s="2"/>
      <c r="B62" s="2"/>
      <c r="C62" s="2"/>
      <c r="D62" s="2"/>
      <c r="E62" s="2"/>
    </row>
    <row r="63" customFormat="false" ht="15" hidden="false" customHeight="false" outlineLevel="0" collapsed="false">
      <c r="A63" s="2"/>
      <c r="B63" s="2"/>
      <c r="C63" s="2"/>
      <c r="D63" s="2"/>
      <c r="E63" s="2"/>
    </row>
    <row r="64" customFormat="false" ht="15" hidden="false" customHeight="false" outlineLevel="0" collapsed="false">
      <c r="A64" s="2"/>
      <c r="B64" s="2"/>
      <c r="C64" s="2"/>
      <c r="D64" s="2"/>
      <c r="E64" s="2"/>
    </row>
    <row r="65" customFormat="false" ht="15" hidden="false" customHeight="false" outlineLevel="0" collapsed="false">
      <c r="A65" s="2"/>
      <c r="B65" s="2"/>
      <c r="C65" s="2"/>
      <c r="D65" s="2"/>
      <c r="E6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18" t="s">
        <v>91</v>
      </c>
      <c r="B1" s="18" t="s">
        <v>92</v>
      </c>
      <c r="C1" s="18" t="s">
        <v>83</v>
      </c>
      <c r="D1" s="18" t="s">
        <v>93</v>
      </c>
      <c r="E1" s="18" t="s">
        <v>94</v>
      </c>
      <c r="F1" s="18" t="s">
        <v>95</v>
      </c>
      <c r="G1" s="18" t="s">
        <v>87</v>
      </c>
      <c r="H1" s="18" t="s">
        <v>85</v>
      </c>
      <c r="I1" s="18" t="s">
        <v>96</v>
      </c>
      <c r="J1" s="2"/>
      <c r="K1" s="2"/>
      <c r="L1" s="2"/>
    </row>
    <row r="2" customFormat="false" ht="23.85" hidden="false" customHeight="false" outlineLevel="0" collapsed="false">
      <c r="A2" s="19" t="s">
        <v>97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21" t="s">
        <v>101</v>
      </c>
      <c r="H2" s="19" t="s">
        <v>103</v>
      </c>
      <c r="I2" s="19" t="s">
        <v>104</v>
      </c>
      <c r="J2" s="2"/>
      <c r="K2" s="2"/>
      <c r="L2" s="2"/>
    </row>
    <row r="3" customFormat="false" ht="23.85" hidden="false" customHeight="false" outlineLevel="0" collapsed="false">
      <c r="A3" s="19" t="s">
        <v>105</v>
      </c>
      <c r="B3" s="19" t="s">
        <v>106</v>
      </c>
      <c r="C3" s="19" t="s">
        <v>99</v>
      </c>
      <c r="D3" s="19" t="s">
        <v>107</v>
      </c>
      <c r="E3" s="19" t="s">
        <v>102</v>
      </c>
      <c r="F3" s="19" t="s">
        <v>102</v>
      </c>
      <c r="G3" s="21" t="s">
        <v>101</v>
      </c>
      <c r="H3" s="19" t="s">
        <v>103</v>
      </c>
      <c r="I3" s="19" t="s">
        <v>108</v>
      </c>
      <c r="J3" s="2"/>
      <c r="K3" s="2"/>
      <c r="L3" s="2"/>
    </row>
    <row r="4" customFormat="false" ht="15" hidden="false" customHeight="false" outlineLevel="0" collapsed="false">
      <c r="A4" s="19" t="s">
        <v>109</v>
      </c>
      <c r="B4" s="19" t="s">
        <v>110</v>
      </c>
      <c r="C4" s="19" t="s">
        <v>99</v>
      </c>
      <c r="D4" s="19" t="s">
        <v>111</v>
      </c>
      <c r="E4" s="19" t="s">
        <v>102</v>
      </c>
      <c r="F4" s="19" t="s">
        <v>102</v>
      </c>
      <c r="G4" s="22" t="s">
        <v>112</v>
      </c>
      <c r="H4" s="19" t="s">
        <v>103</v>
      </c>
      <c r="I4" s="19" t="s">
        <v>113</v>
      </c>
      <c r="J4" s="2"/>
      <c r="K4" s="2"/>
      <c r="L4" s="2"/>
    </row>
    <row r="5" customFormat="false" ht="23.85" hidden="false" customHeight="false" outlineLevel="0" collapsed="false">
      <c r="A5" s="19" t="s">
        <v>114</v>
      </c>
      <c r="B5" s="19" t="s">
        <v>115</v>
      </c>
      <c r="C5" s="19" t="s">
        <v>116</v>
      </c>
      <c r="D5" s="19" t="s">
        <v>117</v>
      </c>
      <c r="E5" s="19" t="s">
        <v>101</v>
      </c>
      <c r="F5" s="19" t="s">
        <v>102</v>
      </c>
      <c r="G5" s="21" t="s">
        <v>101</v>
      </c>
      <c r="H5" s="19" t="s">
        <v>118</v>
      </c>
      <c r="I5" s="19" t="s">
        <v>119</v>
      </c>
      <c r="J5" s="2"/>
      <c r="K5" s="2"/>
      <c r="L5" s="2"/>
    </row>
    <row r="6" customFormat="false" ht="23.85" hidden="false" customHeight="false" outlineLevel="0" collapsed="false">
      <c r="A6" s="19" t="s">
        <v>120</v>
      </c>
      <c r="B6" s="19" t="s">
        <v>121</v>
      </c>
      <c r="C6" s="19" t="s">
        <v>116</v>
      </c>
      <c r="D6" s="19" t="s">
        <v>122</v>
      </c>
      <c r="E6" s="19" t="s">
        <v>101</v>
      </c>
      <c r="F6" s="19" t="s">
        <v>123</v>
      </c>
      <c r="G6" s="21" t="s">
        <v>101</v>
      </c>
      <c r="H6" s="19" t="s">
        <v>118</v>
      </c>
      <c r="I6" s="19" t="s">
        <v>124</v>
      </c>
      <c r="J6" s="2"/>
      <c r="K6" s="2"/>
      <c r="L6" s="2"/>
    </row>
    <row r="7" customFormat="false" ht="23.85" hidden="false" customHeight="false" outlineLevel="0" collapsed="false">
      <c r="A7" s="19" t="s">
        <v>125</v>
      </c>
      <c r="B7" s="19" t="s">
        <v>126</v>
      </c>
      <c r="C7" s="19" t="s">
        <v>116</v>
      </c>
      <c r="D7" s="19" t="s">
        <v>127</v>
      </c>
      <c r="E7" s="19" t="s">
        <v>101</v>
      </c>
      <c r="F7" s="19" t="s">
        <v>128</v>
      </c>
      <c r="G7" s="21" t="s">
        <v>101</v>
      </c>
      <c r="H7" s="19" t="s">
        <v>118</v>
      </c>
      <c r="I7" s="19" t="s">
        <v>129</v>
      </c>
      <c r="J7" s="2"/>
      <c r="K7" s="2"/>
      <c r="L7" s="2"/>
    </row>
    <row r="8" customFormat="false" ht="23.85" hidden="false" customHeight="false" outlineLevel="0" collapsed="false">
      <c r="A8" s="19" t="s">
        <v>130</v>
      </c>
      <c r="B8" s="19" t="s">
        <v>131</v>
      </c>
      <c r="C8" s="19" t="s">
        <v>132</v>
      </c>
      <c r="D8" s="19" t="s">
        <v>133</v>
      </c>
      <c r="E8" s="19" t="s">
        <v>102</v>
      </c>
      <c r="F8" s="19" t="s">
        <v>123</v>
      </c>
      <c r="G8" s="22" t="s">
        <v>112</v>
      </c>
      <c r="H8" s="19" t="s">
        <v>103</v>
      </c>
      <c r="I8" s="19" t="s">
        <v>134</v>
      </c>
      <c r="J8" s="2"/>
      <c r="K8" s="2"/>
      <c r="L8" s="2"/>
    </row>
    <row r="9" customFormat="false" ht="23.85" hidden="false" customHeight="false" outlineLevel="0" collapsed="false">
      <c r="A9" s="19" t="s">
        <v>135</v>
      </c>
      <c r="B9" s="19" t="s">
        <v>136</v>
      </c>
      <c r="C9" s="19" t="s">
        <v>132</v>
      </c>
      <c r="D9" s="19" t="s">
        <v>137</v>
      </c>
      <c r="E9" s="19" t="s">
        <v>102</v>
      </c>
      <c r="F9" s="19" t="s">
        <v>138</v>
      </c>
      <c r="G9" s="22" t="s">
        <v>112</v>
      </c>
      <c r="H9" s="19" t="s">
        <v>103</v>
      </c>
      <c r="I9" s="19" t="s">
        <v>139</v>
      </c>
      <c r="J9" s="2"/>
      <c r="K9" s="2"/>
      <c r="L9" s="2"/>
    </row>
    <row r="10" customFormat="false" ht="23.85" hidden="false" customHeight="false" outlineLevel="0" collapsed="false">
      <c r="A10" s="19" t="s">
        <v>140</v>
      </c>
      <c r="B10" s="19" t="s">
        <v>141</v>
      </c>
      <c r="C10" s="19" t="s">
        <v>116</v>
      </c>
      <c r="D10" s="19" t="s">
        <v>142</v>
      </c>
      <c r="E10" s="19" t="s">
        <v>128</v>
      </c>
      <c r="F10" s="19" t="s">
        <v>102</v>
      </c>
      <c r="G10" s="23" t="s">
        <v>128</v>
      </c>
      <c r="H10" s="19" t="s">
        <v>118</v>
      </c>
      <c r="I10" s="19" t="s">
        <v>143</v>
      </c>
      <c r="J10" s="2"/>
      <c r="K10" s="2"/>
      <c r="L10" s="2"/>
    </row>
    <row r="11" customFormat="false" ht="23.85" hidden="false" customHeight="false" outlineLevel="0" collapsed="false">
      <c r="A11" s="19" t="s">
        <v>144</v>
      </c>
      <c r="B11" s="19" t="s">
        <v>145</v>
      </c>
      <c r="C11" s="19" t="s">
        <v>146</v>
      </c>
      <c r="D11" s="19" t="s">
        <v>147</v>
      </c>
      <c r="E11" s="19" t="s">
        <v>101</v>
      </c>
      <c r="F11" s="19" t="s">
        <v>102</v>
      </c>
      <c r="G11" s="22" t="s">
        <v>112</v>
      </c>
      <c r="H11" s="19" t="s">
        <v>148</v>
      </c>
      <c r="I11" s="19" t="s">
        <v>149</v>
      </c>
      <c r="J11" s="2"/>
      <c r="K11" s="2"/>
      <c r="L11" s="2"/>
    </row>
    <row r="12" customFormat="false" ht="35.05" hidden="false" customHeight="false" outlineLevel="0" collapsed="false">
      <c r="A12" s="19" t="s">
        <v>150</v>
      </c>
      <c r="B12" s="19" t="s">
        <v>151</v>
      </c>
      <c r="C12" s="19" t="s">
        <v>116</v>
      </c>
      <c r="D12" s="19" t="s">
        <v>152</v>
      </c>
      <c r="E12" s="19" t="s">
        <v>102</v>
      </c>
      <c r="F12" s="19" t="s">
        <v>153</v>
      </c>
      <c r="G12" s="21" t="s">
        <v>101</v>
      </c>
      <c r="H12" s="19" t="s">
        <v>118</v>
      </c>
      <c r="I12" s="19" t="s">
        <v>154</v>
      </c>
      <c r="J12" s="2"/>
      <c r="K12" s="2"/>
      <c r="L12" s="2"/>
    </row>
    <row r="13" customFormat="false" ht="35.05" hidden="false" customHeight="false" outlineLevel="0" collapsed="false">
      <c r="A13" s="19" t="s">
        <v>155</v>
      </c>
      <c r="B13" s="19" t="s">
        <v>156</v>
      </c>
      <c r="C13" s="19" t="s">
        <v>116</v>
      </c>
      <c r="D13" s="19" t="s">
        <v>157</v>
      </c>
      <c r="E13" s="19" t="s">
        <v>101</v>
      </c>
      <c r="F13" s="19" t="s">
        <v>101</v>
      </c>
      <c r="G13" s="21" t="s">
        <v>101</v>
      </c>
      <c r="H13" s="19" t="s">
        <v>118</v>
      </c>
      <c r="I13" s="19" t="s">
        <v>158</v>
      </c>
      <c r="J13" s="2"/>
      <c r="K13" s="2"/>
      <c r="L13" s="2"/>
    </row>
    <row r="14" customFormat="false" ht="35.05" hidden="false" customHeight="false" outlineLevel="0" collapsed="false">
      <c r="A14" s="19" t="s">
        <v>159</v>
      </c>
      <c r="B14" s="19" t="s">
        <v>160</v>
      </c>
      <c r="C14" s="19" t="s">
        <v>116</v>
      </c>
      <c r="D14" s="19" t="s">
        <v>161</v>
      </c>
      <c r="E14" s="19" t="s">
        <v>102</v>
      </c>
      <c r="F14" s="19" t="s">
        <v>101</v>
      </c>
      <c r="G14" s="21" t="s">
        <v>101</v>
      </c>
      <c r="H14" s="19" t="s">
        <v>118</v>
      </c>
      <c r="I14" s="19" t="s">
        <v>162</v>
      </c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8" t="s">
        <v>91</v>
      </c>
      <c r="B1" s="18" t="s">
        <v>163</v>
      </c>
      <c r="C1" s="18" t="s">
        <v>83</v>
      </c>
      <c r="D1" s="18" t="s">
        <v>164</v>
      </c>
      <c r="E1" s="18" t="s">
        <v>165</v>
      </c>
      <c r="F1" s="18" t="s">
        <v>52</v>
      </c>
      <c r="G1" s="2"/>
      <c r="H1" s="2"/>
      <c r="I1" s="2"/>
    </row>
    <row r="2" customFormat="false" ht="23.85" hidden="false" customHeight="false" outlineLevel="0" collapsed="false">
      <c r="A2" s="19" t="s">
        <v>166</v>
      </c>
      <c r="B2" s="19" t="s">
        <v>167</v>
      </c>
      <c r="C2" s="19" t="s">
        <v>99</v>
      </c>
      <c r="D2" s="19" t="s">
        <v>168</v>
      </c>
      <c r="E2" s="19" t="s">
        <v>169</v>
      </c>
      <c r="F2" s="24" t="s">
        <v>170</v>
      </c>
      <c r="G2" s="2"/>
      <c r="H2" s="2"/>
      <c r="I2" s="2"/>
    </row>
    <row r="3" customFormat="false" ht="23.85" hidden="false" customHeight="false" outlineLevel="0" collapsed="false">
      <c r="A3" s="19" t="s">
        <v>171</v>
      </c>
      <c r="B3" s="19" t="s">
        <v>172</v>
      </c>
      <c r="C3" s="19" t="s">
        <v>173</v>
      </c>
      <c r="D3" s="19" t="s">
        <v>174</v>
      </c>
      <c r="E3" s="19" t="s">
        <v>175</v>
      </c>
      <c r="F3" s="24" t="s">
        <v>170</v>
      </c>
      <c r="G3" s="2"/>
      <c r="H3" s="2"/>
      <c r="I3" s="2"/>
    </row>
    <row r="4" customFormat="false" ht="15" hidden="false" customHeight="false" outlineLevel="0" collapsed="false">
      <c r="A4" s="19" t="s">
        <v>176</v>
      </c>
      <c r="B4" s="19" t="s">
        <v>177</v>
      </c>
      <c r="C4" s="19" t="s">
        <v>99</v>
      </c>
      <c r="D4" s="19" t="s">
        <v>178</v>
      </c>
      <c r="E4" s="19" t="s">
        <v>179</v>
      </c>
      <c r="F4" s="25" t="s">
        <v>180</v>
      </c>
      <c r="G4" s="2"/>
      <c r="H4" s="2"/>
      <c r="I4" s="2"/>
    </row>
    <row r="5" customFormat="false" ht="23.85" hidden="false" customHeight="false" outlineLevel="0" collapsed="false">
      <c r="A5" s="19" t="s">
        <v>181</v>
      </c>
      <c r="B5" s="19" t="s">
        <v>182</v>
      </c>
      <c r="C5" s="19" t="s">
        <v>183</v>
      </c>
      <c r="D5" s="19" t="s">
        <v>184</v>
      </c>
      <c r="E5" s="19" t="s">
        <v>185</v>
      </c>
      <c r="F5" s="25" t="s">
        <v>180</v>
      </c>
      <c r="G5" s="2"/>
      <c r="H5" s="2"/>
      <c r="I5" s="2"/>
    </row>
    <row r="6" customFormat="false" ht="23.85" hidden="false" customHeight="false" outlineLevel="0" collapsed="false">
      <c r="A6" s="19" t="s">
        <v>186</v>
      </c>
      <c r="B6" s="19" t="s">
        <v>187</v>
      </c>
      <c r="C6" s="19" t="s">
        <v>116</v>
      </c>
      <c r="D6" s="19" t="s">
        <v>188</v>
      </c>
      <c r="E6" s="19" t="s">
        <v>189</v>
      </c>
      <c r="F6" s="25" t="s">
        <v>180</v>
      </c>
      <c r="G6" s="2"/>
      <c r="H6" s="2"/>
      <c r="I6" s="2"/>
    </row>
    <row r="7" customFormat="false" ht="15" hidden="false" customHeight="false" outlineLevel="0" collapsed="false">
      <c r="A7" s="19" t="s">
        <v>190</v>
      </c>
      <c r="B7" s="19" t="s">
        <v>191</v>
      </c>
      <c r="C7" s="19" t="s">
        <v>116</v>
      </c>
      <c r="D7" s="19" t="s">
        <v>192</v>
      </c>
      <c r="E7" s="19" t="s">
        <v>189</v>
      </c>
      <c r="F7" s="25" t="s">
        <v>180</v>
      </c>
      <c r="G7" s="2"/>
      <c r="H7" s="2"/>
      <c r="I7" s="2"/>
    </row>
    <row r="8" customFormat="false" ht="23.85" hidden="false" customHeight="false" outlineLevel="0" collapsed="false">
      <c r="A8" s="19" t="s">
        <v>193</v>
      </c>
      <c r="B8" s="19" t="s">
        <v>194</v>
      </c>
      <c r="C8" s="19" t="s">
        <v>99</v>
      </c>
      <c r="D8" s="19" t="s">
        <v>195</v>
      </c>
      <c r="E8" s="19" t="s">
        <v>175</v>
      </c>
      <c r="F8" s="26" t="s">
        <v>196</v>
      </c>
      <c r="G8" s="2"/>
      <c r="H8" s="2"/>
      <c r="I8" s="2"/>
    </row>
    <row r="9" customFormat="false" ht="23.85" hidden="false" customHeight="false" outlineLevel="0" collapsed="false">
      <c r="A9" s="19" t="s">
        <v>197</v>
      </c>
      <c r="B9" s="19" t="s">
        <v>198</v>
      </c>
      <c r="C9" s="19" t="s">
        <v>116</v>
      </c>
      <c r="D9" s="19" t="s">
        <v>199</v>
      </c>
      <c r="E9" s="19" t="s">
        <v>200</v>
      </c>
      <c r="F9" s="20" t="s">
        <v>201</v>
      </c>
      <c r="G9" s="2"/>
      <c r="H9" s="2"/>
      <c r="I9" s="2"/>
    </row>
    <row r="10" customFormat="false" ht="23.85" hidden="false" customHeight="false" outlineLevel="0" collapsed="false">
      <c r="A10" s="19" t="s">
        <v>202</v>
      </c>
      <c r="B10" s="19" t="s">
        <v>203</v>
      </c>
      <c r="C10" s="19" t="s">
        <v>173</v>
      </c>
      <c r="D10" s="19" t="s">
        <v>204</v>
      </c>
      <c r="E10" s="19" t="s">
        <v>175</v>
      </c>
      <c r="F10" s="25" t="s">
        <v>180</v>
      </c>
      <c r="G10" s="2"/>
      <c r="H10" s="2"/>
      <c r="I10" s="2"/>
    </row>
    <row r="11" customFormat="false" ht="15" hidden="false" customHeight="false" outlineLevel="0" collapsed="false">
      <c r="A11" s="19" t="s">
        <v>205</v>
      </c>
      <c r="B11" s="19" t="s">
        <v>206</v>
      </c>
      <c r="C11" s="19" t="s">
        <v>173</v>
      </c>
      <c r="D11" s="19" t="s">
        <v>207</v>
      </c>
      <c r="E11" s="19" t="s">
        <v>208</v>
      </c>
      <c r="F11" s="25" t="s">
        <v>180</v>
      </c>
      <c r="G11" s="2"/>
      <c r="H11" s="2"/>
      <c r="I11" s="2"/>
    </row>
    <row r="12" customFormat="false" ht="15" hidden="false" customHeight="false" outlineLevel="0" collapsed="false">
      <c r="A12" s="19" t="s">
        <v>209</v>
      </c>
      <c r="B12" s="19" t="s">
        <v>210</v>
      </c>
      <c r="C12" s="19" t="s">
        <v>116</v>
      </c>
      <c r="D12" s="19" t="s">
        <v>211</v>
      </c>
      <c r="E12" s="19" t="s">
        <v>175</v>
      </c>
      <c r="F12" s="25" t="s">
        <v>180</v>
      </c>
      <c r="G12" s="2"/>
      <c r="H12" s="2"/>
      <c r="I12" s="2"/>
    </row>
    <row r="13" customFormat="false" ht="15" hidden="false" customHeight="false" outlineLevel="0" collapsed="false">
      <c r="A13" s="19" t="s">
        <v>212</v>
      </c>
      <c r="B13" s="19" t="s">
        <v>213</v>
      </c>
      <c r="C13" s="19" t="s">
        <v>173</v>
      </c>
      <c r="D13" s="19" t="s">
        <v>214</v>
      </c>
      <c r="E13" s="19" t="s">
        <v>175</v>
      </c>
      <c r="F13" s="25" t="s">
        <v>180</v>
      </c>
      <c r="G13" s="2"/>
      <c r="H13" s="2"/>
      <c r="I13" s="2"/>
    </row>
    <row r="14" customFormat="false" ht="23.85" hidden="false" customHeight="false" outlineLevel="0" collapsed="false">
      <c r="A14" s="19" t="s">
        <v>215</v>
      </c>
      <c r="B14" s="19" t="s">
        <v>216</v>
      </c>
      <c r="C14" s="19" t="s">
        <v>173</v>
      </c>
      <c r="D14" s="19" t="s">
        <v>217</v>
      </c>
      <c r="E14" s="19" t="s">
        <v>218</v>
      </c>
      <c r="F14" s="27" t="s">
        <v>219</v>
      </c>
      <c r="G14" s="2"/>
      <c r="H14" s="2"/>
      <c r="I14" s="2"/>
    </row>
    <row r="15" customFormat="false" ht="23.85" hidden="false" customHeight="false" outlineLevel="0" collapsed="false">
      <c r="A15" s="19" t="s">
        <v>220</v>
      </c>
      <c r="B15" s="19" t="s">
        <v>221</v>
      </c>
      <c r="C15" s="19" t="s">
        <v>222</v>
      </c>
      <c r="D15" s="19" t="s">
        <v>214</v>
      </c>
      <c r="E15" s="19" t="s">
        <v>223</v>
      </c>
      <c r="F15" s="25" t="s">
        <v>180</v>
      </c>
      <c r="G15" s="2"/>
      <c r="H15" s="2"/>
      <c r="I15" s="2"/>
    </row>
    <row r="16" customFormat="false" ht="35.05" hidden="false" customHeight="false" outlineLevel="0" collapsed="false">
      <c r="A16" s="19" t="s">
        <v>224</v>
      </c>
      <c r="B16" s="19" t="s">
        <v>225</v>
      </c>
      <c r="C16" s="19" t="s">
        <v>226</v>
      </c>
      <c r="D16" s="19" t="s">
        <v>227</v>
      </c>
      <c r="E16" s="19" t="s">
        <v>223</v>
      </c>
      <c r="F16" s="25" t="s">
        <v>180</v>
      </c>
      <c r="G16" s="2"/>
      <c r="H16" s="2"/>
      <c r="I16" s="2"/>
    </row>
    <row r="17" customFormat="false" ht="23.85" hidden="false" customHeight="false" outlineLevel="0" collapsed="false">
      <c r="A17" s="19" t="s">
        <v>228</v>
      </c>
      <c r="B17" s="19" t="s">
        <v>229</v>
      </c>
      <c r="C17" s="19" t="s">
        <v>226</v>
      </c>
      <c r="D17" s="19" t="s">
        <v>230</v>
      </c>
      <c r="E17" s="19" t="s">
        <v>223</v>
      </c>
      <c r="F17" s="25" t="s">
        <v>180</v>
      </c>
      <c r="G17" s="2"/>
      <c r="H17" s="2"/>
      <c r="I17" s="2"/>
    </row>
    <row r="18" customFormat="false" ht="23.85" hidden="false" customHeight="false" outlineLevel="0" collapsed="false">
      <c r="A18" s="19" t="s">
        <v>231</v>
      </c>
      <c r="B18" s="19" t="s">
        <v>232</v>
      </c>
      <c r="C18" s="19" t="s">
        <v>233</v>
      </c>
      <c r="D18" s="19" t="s">
        <v>234</v>
      </c>
      <c r="E18" s="19" t="s">
        <v>223</v>
      </c>
      <c r="F18" s="25" t="s">
        <v>180</v>
      </c>
      <c r="G18" s="2"/>
      <c r="H18" s="2"/>
      <c r="I18" s="2"/>
    </row>
    <row r="19" customFormat="false" ht="35.05" hidden="false" customHeight="false" outlineLevel="0" collapsed="false">
      <c r="A19" s="19" t="s">
        <v>235</v>
      </c>
      <c r="B19" s="19" t="s">
        <v>236</v>
      </c>
      <c r="C19" s="19" t="s">
        <v>226</v>
      </c>
      <c r="D19" s="19" t="s">
        <v>237</v>
      </c>
      <c r="E19" s="19" t="s">
        <v>223</v>
      </c>
      <c r="F19" s="25" t="s">
        <v>180</v>
      </c>
      <c r="G19" s="2"/>
      <c r="H19" s="2"/>
      <c r="I19" s="2"/>
    </row>
    <row r="20" customFormat="false" ht="46.25" hidden="false" customHeight="false" outlineLevel="0" collapsed="false">
      <c r="A20" s="19" t="s">
        <v>238</v>
      </c>
      <c r="B20" s="19" t="s">
        <v>239</v>
      </c>
      <c r="C20" s="19" t="s">
        <v>173</v>
      </c>
      <c r="D20" s="19" t="s">
        <v>240</v>
      </c>
      <c r="E20" s="19" t="s">
        <v>241</v>
      </c>
      <c r="F20" s="25" t="s">
        <v>180</v>
      </c>
      <c r="G20" s="2"/>
      <c r="H20" s="2"/>
      <c r="I20" s="2"/>
    </row>
    <row r="21" customFormat="false" ht="35.05" hidden="false" customHeight="false" outlineLevel="0" collapsed="false">
      <c r="A21" s="19" t="s">
        <v>242</v>
      </c>
      <c r="B21" s="19" t="s">
        <v>243</v>
      </c>
      <c r="C21" s="19" t="s">
        <v>244</v>
      </c>
      <c r="D21" s="19" t="s">
        <v>214</v>
      </c>
      <c r="E21" s="19" t="s">
        <v>175</v>
      </c>
      <c r="F21" s="25" t="s">
        <v>180</v>
      </c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H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72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8" t="s">
        <v>51</v>
      </c>
      <c r="B1" s="18" t="s">
        <v>245</v>
      </c>
      <c r="C1" s="18" t="s">
        <v>246</v>
      </c>
      <c r="D1" s="18" t="s">
        <v>247</v>
      </c>
      <c r="E1" s="18" t="s">
        <v>248</v>
      </c>
      <c r="F1" s="2"/>
      <c r="G1" s="2"/>
      <c r="H1" s="2"/>
    </row>
    <row r="2" customFormat="false" ht="15" hidden="false" customHeight="false" outlineLevel="0" collapsed="false">
      <c r="A2" s="19" t="s">
        <v>249</v>
      </c>
      <c r="B2" s="19" t="n">
        <v>1</v>
      </c>
      <c r="C2" s="19" t="s">
        <v>250</v>
      </c>
      <c r="D2" s="24" t="s">
        <v>251</v>
      </c>
      <c r="E2" s="19"/>
      <c r="F2" s="2"/>
      <c r="G2" s="2"/>
      <c r="H2" s="2"/>
    </row>
    <row r="3" customFormat="false" ht="15" hidden="false" customHeight="false" outlineLevel="0" collapsed="false">
      <c r="A3" s="19" t="s">
        <v>249</v>
      </c>
      <c r="B3" s="19" t="n">
        <v>2</v>
      </c>
      <c r="C3" s="19" t="s">
        <v>252</v>
      </c>
      <c r="D3" s="24" t="s">
        <v>251</v>
      </c>
      <c r="E3" s="19"/>
      <c r="F3" s="2"/>
      <c r="G3" s="2"/>
      <c r="H3" s="2"/>
    </row>
    <row r="4" customFormat="false" ht="15" hidden="false" customHeight="false" outlineLevel="0" collapsed="false">
      <c r="A4" s="19" t="s">
        <v>249</v>
      </c>
      <c r="B4" s="19" t="n">
        <v>3</v>
      </c>
      <c r="C4" s="19" t="s">
        <v>253</v>
      </c>
      <c r="D4" s="24" t="s">
        <v>251</v>
      </c>
      <c r="E4" s="19"/>
      <c r="F4" s="2"/>
      <c r="G4" s="2"/>
      <c r="H4" s="2"/>
    </row>
    <row r="5" customFormat="false" ht="15" hidden="false" customHeight="false" outlineLevel="0" collapsed="false">
      <c r="A5" s="19" t="s">
        <v>249</v>
      </c>
      <c r="B5" s="19" t="n">
        <v>4</v>
      </c>
      <c r="C5" s="19" t="s">
        <v>254</v>
      </c>
      <c r="D5" s="24" t="s">
        <v>251</v>
      </c>
      <c r="E5" s="19"/>
      <c r="F5" s="2"/>
      <c r="G5" s="2"/>
      <c r="H5" s="2"/>
    </row>
    <row r="6" customFormat="false" ht="15" hidden="false" customHeight="false" outlineLevel="0" collapsed="false">
      <c r="A6" s="19" t="s">
        <v>249</v>
      </c>
      <c r="B6" s="19" t="n">
        <v>5</v>
      </c>
      <c r="C6" s="19" t="s">
        <v>255</v>
      </c>
      <c r="D6" s="24" t="s">
        <v>251</v>
      </c>
      <c r="E6" s="19"/>
      <c r="F6" s="2"/>
      <c r="G6" s="2"/>
      <c r="H6" s="2"/>
    </row>
    <row r="7" customFormat="false" ht="15" hidden="false" customHeight="false" outlineLevel="0" collapsed="false">
      <c r="A7" s="19" t="s">
        <v>249</v>
      </c>
      <c r="B7" s="19" t="n">
        <v>6</v>
      </c>
      <c r="C7" s="19" t="s">
        <v>256</v>
      </c>
      <c r="D7" s="24" t="s">
        <v>251</v>
      </c>
      <c r="E7" s="19"/>
      <c r="F7" s="2"/>
      <c r="G7" s="2"/>
      <c r="H7" s="2"/>
    </row>
    <row r="8" customFormat="false" ht="15" hidden="false" customHeight="false" outlineLevel="0" collapsed="false">
      <c r="A8" s="19" t="s">
        <v>249</v>
      </c>
      <c r="B8" s="19" t="n">
        <v>7</v>
      </c>
      <c r="C8" s="19" t="s">
        <v>257</v>
      </c>
      <c r="D8" s="24" t="s">
        <v>251</v>
      </c>
      <c r="E8" s="19"/>
      <c r="F8" s="2"/>
      <c r="G8" s="2"/>
      <c r="H8" s="2"/>
    </row>
    <row r="9" customFormat="false" ht="15" hidden="false" customHeight="false" outlineLevel="0" collapsed="false">
      <c r="A9" s="19" t="s">
        <v>249</v>
      </c>
      <c r="B9" s="19" t="n">
        <v>8</v>
      </c>
      <c r="C9" s="19" t="s">
        <v>258</v>
      </c>
      <c r="D9" s="24" t="s">
        <v>251</v>
      </c>
      <c r="E9" s="19"/>
      <c r="F9" s="2"/>
      <c r="G9" s="2"/>
      <c r="H9" s="2"/>
    </row>
    <row r="10" customFormat="false" ht="15" hidden="false" customHeight="false" outlineLevel="0" collapsed="false">
      <c r="A10" s="19" t="s">
        <v>249</v>
      </c>
      <c r="B10" s="19" t="n">
        <v>9</v>
      </c>
      <c r="C10" s="19" t="s">
        <v>259</v>
      </c>
      <c r="D10" s="24" t="s">
        <v>251</v>
      </c>
      <c r="E10" s="19"/>
      <c r="F10" s="2"/>
      <c r="G10" s="2"/>
      <c r="H10" s="2"/>
    </row>
    <row r="11" customFormat="false" ht="23.85" hidden="false" customHeight="false" outlineLevel="0" collapsed="false">
      <c r="A11" s="19" t="s">
        <v>260</v>
      </c>
      <c r="B11" s="19" t="n">
        <v>1</v>
      </c>
      <c r="C11" s="19" t="s">
        <v>261</v>
      </c>
      <c r="D11" s="24" t="s">
        <v>251</v>
      </c>
      <c r="E11" s="19"/>
      <c r="F11" s="2"/>
      <c r="G11" s="2"/>
      <c r="H11" s="2"/>
    </row>
    <row r="12" customFormat="false" ht="23.85" hidden="false" customHeight="false" outlineLevel="0" collapsed="false">
      <c r="A12" s="19" t="s">
        <v>260</v>
      </c>
      <c r="B12" s="19" t="n">
        <v>2</v>
      </c>
      <c r="C12" s="19" t="s">
        <v>262</v>
      </c>
      <c r="D12" s="24" t="s">
        <v>251</v>
      </c>
      <c r="E12" s="19"/>
      <c r="F12" s="2"/>
      <c r="G12" s="2"/>
      <c r="H12" s="2"/>
    </row>
    <row r="13" customFormat="false" ht="23.85" hidden="false" customHeight="false" outlineLevel="0" collapsed="false">
      <c r="A13" s="19" t="s">
        <v>260</v>
      </c>
      <c r="B13" s="19" t="n">
        <v>3</v>
      </c>
      <c r="C13" s="19" t="s">
        <v>263</v>
      </c>
      <c r="D13" s="24" t="s">
        <v>251</v>
      </c>
      <c r="E13" s="19"/>
      <c r="F13" s="2"/>
      <c r="G13" s="2"/>
      <c r="H13" s="2"/>
    </row>
    <row r="14" customFormat="false" ht="15" hidden="false" customHeight="false" outlineLevel="0" collapsed="false">
      <c r="A14" s="19" t="s">
        <v>260</v>
      </c>
      <c r="B14" s="19" t="n">
        <v>4</v>
      </c>
      <c r="C14" s="19" t="s">
        <v>264</v>
      </c>
      <c r="D14" s="24" t="s">
        <v>251</v>
      </c>
      <c r="E14" s="19"/>
      <c r="F14" s="2"/>
      <c r="G14" s="2"/>
      <c r="H14" s="2"/>
    </row>
    <row r="15" customFormat="false" ht="23.85" hidden="false" customHeight="false" outlineLevel="0" collapsed="false">
      <c r="A15" s="19" t="s">
        <v>260</v>
      </c>
      <c r="B15" s="19" t="n">
        <v>5</v>
      </c>
      <c r="C15" s="19" t="s">
        <v>265</v>
      </c>
      <c r="D15" s="24" t="s">
        <v>251</v>
      </c>
      <c r="E15" s="19"/>
      <c r="F15" s="2"/>
      <c r="G15" s="2"/>
      <c r="H15" s="2"/>
    </row>
    <row r="16" customFormat="false" ht="15" hidden="false" customHeight="false" outlineLevel="0" collapsed="false">
      <c r="A16" s="19" t="s">
        <v>260</v>
      </c>
      <c r="B16" s="19" t="n">
        <v>6</v>
      </c>
      <c r="C16" s="19" t="s">
        <v>266</v>
      </c>
      <c r="D16" s="24" t="s">
        <v>251</v>
      </c>
      <c r="E16" s="19"/>
      <c r="F16" s="2"/>
      <c r="G16" s="2"/>
      <c r="H16" s="2"/>
    </row>
    <row r="17" customFormat="false" ht="15" hidden="false" customHeight="false" outlineLevel="0" collapsed="false">
      <c r="A17" s="19" t="s">
        <v>260</v>
      </c>
      <c r="B17" s="19" t="n">
        <v>7</v>
      </c>
      <c r="C17" s="19" t="s">
        <v>267</v>
      </c>
      <c r="D17" s="24" t="s">
        <v>251</v>
      </c>
      <c r="E17" s="19"/>
      <c r="F17" s="2"/>
      <c r="G17" s="2"/>
      <c r="H17" s="2"/>
    </row>
    <row r="18" customFormat="false" ht="15" hidden="false" customHeight="false" outlineLevel="0" collapsed="false">
      <c r="A18" s="19" t="s">
        <v>260</v>
      </c>
      <c r="B18" s="19" t="n">
        <v>8</v>
      </c>
      <c r="C18" s="19" t="s">
        <v>268</v>
      </c>
      <c r="D18" s="24" t="s">
        <v>251</v>
      </c>
      <c r="E18" s="19"/>
      <c r="F18" s="2"/>
      <c r="G18" s="2"/>
      <c r="H18" s="2"/>
    </row>
    <row r="19" customFormat="false" ht="23.85" hidden="false" customHeight="false" outlineLevel="0" collapsed="false">
      <c r="A19" s="19" t="s">
        <v>260</v>
      </c>
      <c r="B19" s="19" t="n">
        <v>9</v>
      </c>
      <c r="C19" s="19" t="s">
        <v>269</v>
      </c>
      <c r="D19" s="24" t="s">
        <v>251</v>
      </c>
      <c r="E19" s="19"/>
      <c r="F19" s="2"/>
      <c r="G19" s="2"/>
      <c r="H19" s="2"/>
    </row>
    <row r="20" customFormat="false" ht="23.85" hidden="false" customHeight="false" outlineLevel="0" collapsed="false">
      <c r="A20" s="19" t="s">
        <v>260</v>
      </c>
      <c r="B20" s="19" t="n">
        <v>10</v>
      </c>
      <c r="C20" s="19" t="s">
        <v>270</v>
      </c>
      <c r="D20" s="24" t="s">
        <v>251</v>
      </c>
      <c r="E20" s="19"/>
      <c r="F20" s="2"/>
      <c r="G20" s="2"/>
      <c r="H20" s="2"/>
    </row>
    <row r="21" customFormat="false" ht="15" hidden="false" customHeight="false" outlineLevel="0" collapsed="false">
      <c r="A21" s="19" t="s">
        <v>271</v>
      </c>
      <c r="B21" s="19" t="n">
        <v>1</v>
      </c>
      <c r="C21" s="19" t="s">
        <v>272</v>
      </c>
      <c r="D21" s="24" t="s">
        <v>251</v>
      </c>
      <c r="E21" s="19" t="s">
        <v>273</v>
      </c>
      <c r="F21" s="2"/>
      <c r="G21" s="2"/>
      <c r="H21" s="2"/>
    </row>
    <row r="22" customFormat="false" ht="15" hidden="false" customHeight="false" outlineLevel="0" collapsed="false">
      <c r="A22" s="19" t="s">
        <v>271</v>
      </c>
      <c r="B22" s="19" t="n">
        <v>2</v>
      </c>
      <c r="C22" s="19" t="s">
        <v>274</v>
      </c>
      <c r="D22" s="24" t="s">
        <v>251</v>
      </c>
      <c r="E22" s="19" t="s">
        <v>275</v>
      </c>
      <c r="F22" s="2"/>
      <c r="G22" s="2"/>
      <c r="H22" s="2"/>
    </row>
    <row r="23" customFormat="false" ht="15" hidden="false" customHeight="false" outlineLevel="0" collapsed="false">
      <c r="A23" s="19" t="s">
        <v>271</v>
      </c>
      <c r="B23" s="19" t="n">
        <v>3</v>
      </c>
      <c r="C23" s="19" t="s">
        <v>276</v>
      </c>
      <c r="D23" s="24" t="s">
        <v>251</v>
      </c>
      <c r="E23" s="19" t="s">
        <v>275</v>
      </c>
      <c r="F23" s="2"/>
      <c r="G23" s="2"/>
      <c r="H23" s="2"/>
    </row>
    <row r="24" customFormat="false" ht="15" hidden="false" customHeight="false" outlineLevel="0" collapsed="false">
      <c r="A24" s="19" t="s">
        <v>271</v>
      </c>
      <c r="B24" s="19" t="n">
        <v>4</v>
      </c>
      <c r="C24" s="19" t="s">
        <v>277</v>
      </c>
      <c r="D24" s="24" t="s">
        <v>251</v>
      </c>
      <c r="E24" s="19" t="s">
        <v>278</v>
      </c>
      <c r="F24" s="2"/>
      <c r="G24" s="2"/>
      <c r="H24" s="2"/>
    </row>
    <row r="25" customFormat="false" ht="15" hidden="false" customHeight="false" outlineLevel="0" collapsed="false">
      <c r="A25" s="19" t="s">
        <v>271</v>
      </c>
      <c r="B25" s="19" t="n">
        <v>5</v>
      </c>
      <c r="C25" s="19" t="s">
        <v>279</v>
      </c>
      <c r="D25" s="24" t="s">
        <v>251</v>
      </c>
      <c r="E25" s="19" t="s">
        <v>278</v>
      </c>
      <c r="F25" s="2"/>
      <c r="G25" s="2"/>
      <c r="H25" s="2"/>
    </row>
    <row r="26" customFormat="false" ht="15" hidden="false" customHeight="false" outlineLevel="0" collapsed="false">
      <c r="A26" s="19" t="s">
        <v>271</v>
      </c>
      <c r="B26" s="19" t="n">
        <v>6</v>
      </c>
      <c r="C26" s="19" t="s">
        <v>280</v>
      </c>
      <c r="D26" s="24" t="s">
        <v>251</v>
      </c>
      <c r="E26" s="19" t="s">
        <v>278</v>
      </c>
      <c r="F26" s="2"/>
      <c r="G26" s="2"/>
      <c r="H26" s="2"/>
    </row>
    <row r="27" customFormat="false" ht="15" hidden="false" customHeight="false" outlineLevel="0" collapsed="false">
      <c r="A27" s="19" t="s">
        <v>271</v>
      </c>
      <c r="B27" s="19" t="n">
        <v>7</v>
      </c>
      <c r="C27" s="19" t="s">
        <v>281</v>
      </c>
      <c r="D27" s="24" t="s">
        <v>251</v>
      </c>
      <c r="E27" s="19" t="s">
        <v>278</v>
      </c>
      <c r="F27" s="2"/>
      <c r="G27" s="2"/>
      <c r="H27" s="2"/>
    </row>
    <row r="28" customFormat="false" ht="15" hidden="false" customHeight="false" outlineLevel="0" collapsed="false">
      <c r="A28" s="19" t="s">
        <v>271</v>
      </c>
      <c r="B28" s="19" t="n">
        <v>8</v>
      </c>
      <c r="C28" s="19" t="s">
        <v>282</v>
      </c>
      <c r="D28" s="24" t="s">
        <v>251</v>
      </c>
      <c r="E28" s="19" t="s">
        <v>278</v>
      </c>
      <c r="F28" s="2"/>
      <c r="G28" s="2"/>
      <c r="H28" s="2"/>
    </row>
    <row r="29" customFormat="false" ht="23.85" hidden="false" customHeight="false" outlineLevel="0" collapsed="false">
      <c r="A29" s="19" t="s">
        <v>271</v>
      </c>
      <c r="B29" s="19" t="n">
        <v>9</v>
      </c>
      <c r="C29" s="19" t="s">
        <v>283</v>
      </c>
      <c r="D29" s="24" t="s">
        <v>251</v>
      </c>
      <c r="E29" s="19" t="s">
        <v>284</v>
      </c>
      <c r="F29" s="2"/>
      <c r="G29" s="2"/>
      <c r="H29" s="2"/>
    </row>
    <row r="30" customFormat="false" ht="15" hidden="false" customHeight="false" outlineLevel="0" collapsed="false">
      <c r="A30" s="19" t="s">
        <v>271</v>
      </c>
      <c r="B30" s="19" t="n">
        <v>10</v>
      </c>
      <c r="C30" s="19" t="s">
        <v>285</v>
      </c>
      <c r="D30" s="24" t="s">
        <v>251</v>
      </c>
      <c r="E30" s="19" t="s">
        <v>284</v>
      </c>
      <c r="F30" s="2"/>
      <c r="G30" s="2"/>
      <c r="H30" s="2"/>
    </row>
    <row r="31" customFormat="false" ht="15" hidden="false" customHeight="false" outlineLevel="0" collapsed="false">
      <c r="A31" s="19" t="s">
        <v>271</v>
      </c>
      <c r="B31" s="19" t="n">
        <v>11</v>
      </c>
      <c r="C31" s="19" t="s">
        <v>286</v>
      </c>
      <c r="D31" s="24" t="s">
        <v>251</v>
      </c>
      <c r="E31" s="19" t="s">
        <v>284</v>
      </c>
      <c r="F31" s="2"/>
      <c r="G31" s="2"/>
      <c r="H31" s="2"/>
    </row>
    <row r="32" customFormat="false" ht="23.85" hidden="false" customHeight="false" outlineLevel="0" collapsed="false">
      <c r="A32" s="19" t="s">
        <v>271</v>
      </c>
      <c r="B32" s="19" t="n">
        <v>12</v>
      </c>
      <c r="C32" s="19" t="s">
        <v>287</v>
      </c>
      <c r="D32" s="24" t="s">
        <v>251</v>
      </c>
      <c r="E32" s="19" t="s">
        <v>288</v>
      </c>
      <c r="F32" s="2"/>
      <c r="G32" s="2"/>
      <c r="H32" s="2"/>
    </row>
    <row r="33" customFormat="false" ht="15" hidden="false" customHeight="false" outlineLevel="0" collapsed="false">
      <c r="A33" s="19" t="s">
        <v>271</v>
      </c>
      <c r="B33" s="19" t="n">
        <v>13</v>
      </c>
      <c r="C33" s="19" t="s">
        <v>289</v>
      </c>
      <c r="D33" s="24" t="s">
        <v>251</v>
      </c>
      <c r="E33" s="19" t="s">
        <v>288</v>
      </c>
      <c r="F33" s="2"/>
      <c r="G33" s="2"/>
      <c r="H33" s="2"/>
    </row>
    <row r="34" customFormat="false" ht="15" hidden="false" customHeight="false" outlineLevel="0" collapsed="false">
      <c r="A34" s="19" t="s">
        <v>271</v>
      </c>
      <c r="B34" s="19" t="n">
        <v>14</v>
      </c>
      <c r="C34" s="19" t="s">
        <v>290</v>
      </c>
      <c r="D34" s="24" t="s">
        <v>251</v>
      </c>
      <c r="E34" s="19" t="s">
        <v>291</v>
      </c>
      <c r="F34" s="2"/>
      <c r="G34" s="2"/>
      <c r="H34" s="2"/>
    </row>
    <row r="35" customFormat="false" ht="15" hidden="false" customHeight="false" outlineLevel="0" collapsed="false">
      <c r="A35" s="19" t="s">
        <v>271</v>
      </c>
      <c r="B35" s="19" t="n">
        <v>15</v>
      </c>
      <c r="C35" s="19" t="s">
        <v>292</v>
      </c>
      <c r="D35" s="24" t="s">
        <v>251</v>
      </c>
      <c r="E35" s="19" t="s">
        <v>291</v>
      </c>
      <c r="F35" s="2"/>
      <c r="G35" s="2"/>
      <c r="H35" s="2"/>
    </row>
    <row r="36" customFormat="false" ht="15" hidden="false" customHeight="false" outlineLevel="0" collapsed="false">
      <c r="A36" s="19" t="s">
        <v>271</v>
      </c>
      <c r="B36" s="19" t="n">
        <v>16</v>
      </c>
      <c r="C36" s="19" t="s">
        <v>293</v>
      </c>
      <c r="D36" s="24" t="s">
        <v>251</v>
      </c>
      <c r="E36" s="19" t="s">
        <v>291</v>
      </c>
      <c r="F36" s="2"/>
      <c r="G36" s="2"/>
      <c r="H36" s="2"/>
    </row>
    <row r="37" customFormat="false" ht="23.85" hidden="false" customHeight="false" outlineLevel="0" collapsed="false">
      <c r="A37" s="19" t="s">
        <v>294</v>
      </c>
      <c r="B37" s="19" t="n">
        <v>1</v>
      </c>
      <c r="C37" s="19" t="s">
        <v>295</v>
      </c>
      <c r="D37" s="24" t="s">
        <v>251</v>
      </c>
      <c r="E37" s="19" t="s">
        <v>275</v>
      </c>
      <c r="F37" s="2"/>
      <c r="G37" s="2"/>
      <c r="H37" s="2"/>
    </row>
    <row r="38" customFormat="false" ht="23.85" hidden="false" customHeight="false" outlineLevel="0" collapsed="false">
      <c r="A38" s="19" t="s">
        <v>294</v>
      </c>
      <c r="B38" s="19" t="n">
        <v>2</v>
      </c>
      <c r="C38" s="19" t="s">
        <v>296</v>
      </c>
      <c r="D38" s="24" t="s">
        <v>251</v>
      </c>
      <c r="E38" s="19" t="s">
        <v>275</v>
      </c>
      <c r="F38" s="2"/>
      <c r="G38" s="2"/>
      <c r="H38" s="2"/>
    </row>
    <row r="39" customFormat="false" ht="15" hidden="false" customHeight="false" outlineLevel="0" collapsed="false">
      <c r="A39" s="19" t="s">
        <v>294</v>
      </c>
      <c r="B39" s="19" t="n">
        <v>3</v>
      </c>
      <c r="C39" s="19" t="s">
        <v>297</v>
      </c>
      <c r="D39" s="24" t="s">
        <v>251</v>
      </c>
      <c r="E39" s="19" t="s">
        <v>275</v>
      </c>
      <c r="F39" s="2"/>
      <c r="G39" s="2"/>
      <c r="H39" s="2"/>
    </row>
    <row r="40" customFormat="false" ht="23.85" hidden="false" customHeight="false" outlineLevel="0" collapsed="false">
      <c r="A40" s="19" t="s">
        <v>294</v>
      </c>
      <c r="B40" s="19" t="n">
        <v>4</v>
      </c>
      <c r="C40" s="19" t="s">
        <v>298</v>
      </c>
      <c r="D40" s="24" t="s">
        <v>251</v>
      </c>
      <c r="E40" s="19" t="s">
        <v>278</v>
      </c>
      <c r="F40" s="2"/>
      <c r="G40" s="2"/>
      <c r="H40" s="2"/>
    </row>
    <row r="41" customFormat="false" ht="15" hidden="false" customHeight="false" outlineLevel="0" collapsed="false">
      <c r="A41" s="19" t="s">
        <v>294</v>
      </c>
      <c r="B41" s="19" t="n">
        <v>5</v>
      </c>
      <c r="C41" s="19" t="s">
        <v>299</v>
      </c>
      <c r="D41" s="24" t="s">
        <v>251</v>
      </c>
      <c r="E41" s="19" t="s">
        <v>278</v>
      </c>
      <c r="F41" s="2"/>
      <c r="G41" s="2"/>
      <c r="H41" s="2"/>
    </row>
    <row r="42" customFormat="false" ht="15" hidden="false" customHeight="false" outlineLevel="0" collapsed="false">
      <c r="A42" s="19" t="s">
        <v>294</v>
      </c>
      <c r="B42" s="19" t="n">
        <v>6</v>
      </c>
      <c r="C42" s="19" t="s">
        <v>300</v>
      </c>
      <c r="D42" s="24" t="s">
        <v>251</v>
      </c>
      <c r="E42" s="19" t="s">
        <v>278</v>
      </c>
      <c r="F42" s="2"/>
      <c r="G42" s="2"/>
      <c r="H42" s="2"/>
    </row>
    <row r="43" customFormat="false" ht="23.85" hidden="false" customHeight="false" outlineLevel="0" collapsed="false">
      <c r="A43" s="19" t="s">
        <v>294</v>
      </c>
      <c r="B43" s="19" t="n">
        <v>7</v>
      </c>
      <c r="C43" s="19" t="s">
        <v>301</v>
      </c>
      <c r="D43" s="24" t="s">
        <v>251</v>
      </c>
      <c r="E43" s="19" t="s">
        <v>278</v>
      </c>
      <c r="F43" s="2"/>
      <c r="G43" s="2"/>
      <c r="H43" s="2"/>
    </row>
    <row r="44" customFormat="false" ht="15" hidden="false" customHeight="false" outlineLevel="0" collapsed="false">
      <c r="A44" s="19" t="s">
        <v>294</v>
      </c>
      <c r="B44" s="19" t="n">
        <v>8</v>
      </c>
      <c r="C44" s="19" t="s">
        <v>302</v>
      </c>
      <c r="D44" s="24" t="s">
        <v>251</v>
      </c>
      <c r="E44" s="19" t="s">
        <v>284</v>
      </c>
      <c r="F44" s="2"/>
      <c r="G44" s="2"/>
      <c r="H44" s="2"/>
    </row>
    <row r="45" customFormat="false" ht="23.85" hidden="false" customHeight="false" outlineLevel="0" collapsed="false">
      <c r="A45" s="19" t="s">
        <v>294</v>
      </c>
      <c r="B45" s="19" t="n">
        <v>9</v>
      </c>
      <c r="C45" s="19" t="s">
        <v>303</v>
      </c>
      <c r="D45" s="24" t="s">
        <v>251</v>
      </c>
      <c r="E45" s="19" t="s">
        <v>284</v>
      </c>
      <c r="F45" s="2"/>
      <c r="G45" s="2"/>
      <c r="H45" s="2"/>
    </row>
    <row r="46" customFormat="false" ht="23.85" hidden="false" customHeight="false" outlineLevel="0" collapsed="false">
      <c r="A46" s="19" t="s">
        <v>294</v>
      </c>
      <c r="B46" s="19" t="n">
        <v>10</v>
      </c>
      <c r="C46" s="19" t="s">
        <v>304</v>
      </c>
      <c r="D46" s="24" t="s">
        <v>251</v>
      </c>
      <c r="E46" s="19" t="s">
        <v>284</v>
      </c>
      <c r="F46" s="2"/>
      <c r="G46" s="2"/>
      <c r="H46" s="2"/>
    </row>
    <row r="47" customFormat="false" ht="23.85" hidden="false" customHeight="false" outlineLevel="0" collapsed="false">
      <c r="A47" s="19" t="s">
        <v>294</v>
      </c>
      <c r="B47" s="19" t="n">
        <v>11</v>
      </c>
      <c r="C47" s="19" t="s">
        <v>305</v>
      </c>
      <c r="D47" s="24" t="s">
        <v>251</v>
      </c>
      <c r="E47" s="19" t="s">
        <v>284</v>
      </c>
      <c r="F47" s="2"/>
      <c r="G47" s="2"/>
      <c r="H47" s="2"/>
    </row>
    <row r="48" customFormat="false" ht="23.85" hidden="false" customHeight="false" outlineLevel="0" collapsed="false">
      <c r="A48" s="19" t="s">
        <v>294</v>
      </c>
      <c r="B48" s="19" t="n">
        <v>12</v>
      </c>
      <c r="C48" s="19" t="s">
        <v>306</v>
      </c>
      <c r="D48" s="24" t="s">
        <v>251</v>
      </c>
      <c r="E48" s="19" t="s">
        <v>291</v>
      </c>
      <c r="F48" s="2"/>
      <c r="G48" s="2"/>
      <c r="H48" s="2"/>
    </row>
    <row r="49" customFormat="false" ht="23.85" hidden="false" customHeight="false" outlineLevel="0" collapsed="false">
      <c r="A49" s="19" t="s">
        <v>294</v>
      </c>
      <c r="B49" s="19" t="n">
        <v>13</v>
      </c>
      <c r="C49" s="19" t="s">
        <v>307</v>
      </c>
      <c r="D49" s="24" t="s">
        <v>251</v>
      </c>
      <c r="E49" s="19" t="s">
        <v>291</v>
      </c>
      <c r="F49" s="2"/>
      <c r="G49" s="2"/>
      <c r="H49" s="2"/>
    </row>
    <row r="50" customFormat="false" ht="23.85" hidden="false" customHeight="false" outlineLevel="0" collapsed="false">
      <c r="A50" s="19" t="s">
        <v>294</v>
      </c>
      <c r="B50" s="19" t="n">
        <v>14</v>
      </c>
      <c r="C50" s="19" t="s">
        <v>308</v>
      </c>
      <c r="D50" s="24" t="s">
        <v>251</v>
      </c>
      <c r="E50" s="19" t="s">
        <v>291</v>
      </c>
      <c r="F50" s="2"/>
      <c r="G50" s="2"/>
      <c r="H50" s="2"/>
    </row>
    <row r="51" customFormat="false" ht="15" hidden="false" customHeight="false" outlineLevel="0" collapsed="false">
      <c r="A51" s="19" t="s">
        <v>309</v>
      </c>
      <c r="B51" s="19" t="n">
        <v>1</v>
      </c>
      <c r="C51" s="19" t="s">
        <v>310</v>
      </c>
      <c r="D51" s="24" t="s">
        <v>251</v>
      </c>
      <c r="E51" s="19" t="s">
        <v>275</v>
      </c>
      <c r="F51" s="2"/>
      <c r="G51" s="2"/>
      <c r="H51" s="2"/>
    </row>
    <row r="52" customFormat="false" ht="23.85" hidden="false" customHeight="false" outlineLevel="0" collapsed="false">
      <c r="A52" s="19" t="s">
        <v>309</v>
      </c>
      <c r="B52" s="19" t="n">
        <v>2</v>
      </c>
      <c r="C52" s="19" t="s">
        <v>311</v>
      </c>
      <c r="D52" s="24" t="s">
        <v>251</v>
      </c>
      <c r="E52" s="19" t="s">
        <v>275</v>
      </c>
      <c r="F52" s="2"/>
      <c r="G52" s="2"/>
      <c r="H52" s="2"/>
    </row>
    <row r="53" customFormat="false" ht="15" hidden="false" customHeight="false" outlineLevel="0" collapsed="false">
      <c r="A53" s="19" t="s">
        <v>309</v>
      </c>
      <c r="B53" s="19" t="n">
        <v>3</v>
      </c>
      <c r="C53" s="19" t="s">
        <v>312</v>
      </c>
      <c r="D53" s="24" t="s">
        <v>251</v>
      </c>
      <c r="E53" s="19" t="s">
        <v>275</v>
      </c>
      <c r="F53" s="2"/>
      <c r="G53" s="2"/>
      <c r="H53" s="2"/>
    </row>
    <row r="54" customFormat="false" ht="15" hidden="false" customHeight="false" outlineLevel="0" collapsed="false">
      <c r="A54" s="19" t="s">
        <v>309</v>
      </c>
      <c r="B54" s="19" t="n">
        <v>4</v>
      </c>
      <c r="C54" s="19" t="s">
        <v>313</v>
      </c>
      <c r="D54" s="24" t="s">
        <v>251</v>
      </c>
      <c r="E54" s="19" t="s">
        <v>278</v>
      </c>
      <c r="F54" s="2"/>
      <c r="G54" s="2"/>
      <c r="H54" s="2"/>
    </row>
    <row r="55" customFormat="false" ht="23.85" hidden="false" customHeight="false" outlineLevel="0" collapsed="false">
      <c r="A55" s="19" t="s">
        <v>309</v>
      </c>
      <c r="B55" s="19" t="n">
        <v>5</v>
      </c>
      <c r="C55" s="19" t="s">
        <v>314</v>
      </c>
      <c r="D55" s="24" t="s">
        <v>251</v>
      </c>
      <c r="E55" s="19" t="s">
        <v>278</v>
      </c>
      <c r="F55" s="2"/>
      <c r="G55" s="2"/>
      <c r="H55" s="2"/>
    </row>
    <row r="56" customFormat="false" ht="15" hidden="false" customHeight="false" outlineLevel="0" collapsed="false">
      <c r="A56" s="19" t="s">
        <v>309</v>
      </c>
      <c r="B56" s="19" t="n">
        <v>6</v>
      </c>
      <c r="C56" s="19" t="s">
        <v>315</v>
      </c>
      <c r="D56" s="24" t="s">
        <v>251</v>
      </c>
      <c r="E56" s="19" t="s">
        <v>278</v>
      </c>
      <c r="F56" s="2"/>
      <c r="G56" s="2"/>
      <c r="H56" s="2"/>
    </row>
    <row r="57" customFormat="false" ht="15" hidden="false" customHeight="false" outlineLevel="0" collapsed="false">
      <c r="A57" s="19" t="s">
        <v>309</v>
      </c>
      <c r="B57" s="19" t="n">
        <v>7</v>
      </c>
      <c r="C57" s="19" t="s">
        <v>316</v>
      </c>
      <c r="D57" s="24" t="s">
        <v>251</v>
      </c>
      <c r="E57" s="19" t="s">
        <v>278</v>
      </c>
      <c r="F57" s="2"/>
      <c r="G57" s="2"/>
      <c r="H57" s="2"/>
    </row>
    <row r="58" customFormat="false" ht="15" hidden="false" customHeight="false" outlineLevel="0" collapsed="false">
      <c r="A58" s="19" t="s">
        <v>309</v>
      </c>
      <c r="B58" s="19" t="n">
        <v>8</v>
      </c>
      <c r="C58" s="19" t="s">
        <v>317</v>
      </c>
      <c r="D58" s="24" t="s">
        <v>251</v>
      </c>
      <c r="E58" s="19" t="s">
        <v>278</v>
      </c>
      <c r="F58" s="2"/>
      <c r="G58" s="2"/>
      <c r="H58" s="2"/>
    </row>
    <row r="59" customFormat="false" ht="15" hidden="false" customHeight="false" outlineLevel="0" collapsed="false">
      <c r="A59" s="19" t="s">
        <v>309</v>
      </c>
      <c r="B59" s="19" t="n">
        <v>9</v>
      </c>
      <c r="C59" s="19" t="s">
        <v>318</v>
      </c>
      <c r="D59" s="24" t="s">
        <v>251</v>
      </c>
      <c r="E59" s="19" t="s">
        <v>284</v>
      </c>
      <c r="F59" s="2"/>
      <c r="G59" s="2"/>
      <c r="H59" s="2"/>
    </row>
    <row r="60" customFormat="false" ht="23.85" hidden="false" customHeight="false" outlineLevel="0" collapsed="false">
      <c r="A60" s="19" t="s">
        <v>309</v>
      </c>
      <c r="B60" s="19" t="n">
        <v>10</v>
      </c>
      <c r="C60" s="19" t="s">
        <v>319</v>
      </c>
      <c r="D60" s="24" t="s">
        <v>251</v>
      </c>
      <c r="E60" s="19" t="s">
        <v>288</v>
      </c>
      <c r="F60" s="2"/>
      <c r="G60" s="2"/>
      <c r="H60" s="2"/>
    </row>
    <row r="61" customFormat="false" ht="23.85" hidden="false" customHeight="false" outlineLevel="0" collapsed="false">
      <c r="A61" s="19" t="s">
        <v>309</v>
      </c>
      <c r="B61" s="19" t="n">
        <v>11</v>
      </c>
      <c r="C61" s="19" t="s">
        <v>320</v>
      </c>
      <c r="D61" s="24" t="s">
        <v>251</v>
      </c>
      <c r="E61" s="19" t="s">
        <v>321</v>
      </c>
      <c r="F61" s="2"/>
      <c r="G61" s="2"/>
      <c r="H61" s="2"/>
    </row>
    <row r="62" customFormat="false" ht="23.85" hidden="false" customHeight="false" outlineLevel="0" collapsed="false">
      <c r="A62" s="19" t="s">
        <v>322</v>
      </c>
      <c r="B62" s="19" t="n">
        <v>1</v>
      </c>
      <c r="C62" s="19" t="s">
        <v>323</v>
      </c>
      <c r="D62" s="24" t="s">
        <v>251</v>
      </c>
      <c r="E62" s="19" t="s">
        <v>275</v>
      </c>
      <c r="F62" s="2"/>
      <c r="G62" s="2"/>
      <c r="H62" s="2"/>
    </row>
    <row r="63" customFormat="false" ht="15" hidden="false" customHeight="false" outlineLevel="0" collapsed="false">
      <c r="A63" s="19" t="s">
        <v>322</v>
      </c>
      <c r="B63" s="19" t="n">
        <v>2</v>
      </c>
      <c r="C63" s="19" t="s">
        <v>324</v>
      </c>
      <c r="D63" s="24" t="s">
        <v>251</v>
      </c>
      <c r="E63" s="19" t="s">
        <v>275</v>
      </c>
      <c r="F63" s="2"/>
      <c r="G63" s="2"/>
      <c r="H63" s="2"/>
    </row>
    <row r="64" customFormat="false" ht="15" hidden="false" customHeight="false" outlineLevel="0" collapsed="false">
      <c r="A64" s="19" t="s">
        <v>322</v>
      </c>
      <c r="B64" s="19" t="n">
        <v>3</v>
      </c>
      <c r="C64" s="19" t="s">
        <v>325</v>
      </c>
      <c r="D64" s="24" t="s">
        <v>251</v>
      </c>
      <c r="E64" s="19" t="s">
        <v>275</v>
      </c>
      <c r="F64" s="2"/>
      <c r="G64" s="2"/>
      <c r="H64" s="2"/>
    </row>
    <row r="65" customFormat="false" ht="15" hidden="false" customHeight="false" outlineLevel="0" collapsed="false">
      <c r="A65" s="19" t="s">
        <v>322</v>
      </c>
      <c r="B65" s="19" t="n">
        <v>4</v>
      </c>
      <c r="C65" s="19" t="s">
        <v>326</v>
      </c>
      <c r="D65" s="24" t="s">
        <v>251</v>
      </c>
      <c r="E65" s="19" t="s">
        <v>284</v>
      </c>
      <c r="F65" s="2"/>
      <c r="G65" s="2"/>
      <c r="H65" s="2"/>
    </row>
    <row r="66" customFormat="false" ht="15" hidden="false" customHeight="false" outlineLevel="0" collapsed="false">
      <c r="A66" s="19" t="s">
        <v>322</v>
      </c>
      <c r="B66" s="19" t="n">
        <v>5</v>
      </c>
      <c r="C66" s="19" t="s">
        <v>327</v>
      </c>
      <c r="D66" s="24" t="s">
        <v>251</v>
      </c>
      <c r="E66" s="19" t="s">
        <v>284</v>
      </c>
      <c r="F66" s="2"/>
      <c r="G66" s="2"/>
      <c r="H66" s="2"/>
    </row>
    <row r="67" customFormat="false" ht="15" hidden="false" customHeight="false" outlineLevel="0" collapsed="false">
      <c r="A67" s="19" t="s">
        <v>322</v>
      </c>
      <c r="B67" s="19" t="n">
        <v>6</v>
      </c>
      <c r="C67" s="19" t="s">
        <v>328</v>
      </c>
      <c r="D67" s="24" t="s">
        <v>251</v>
      </c>
      <c r="E67" s="19" t="s">
        <v>278</v>
      </c>
      <c r="F67" s="2"/>
      <c r="G67" s="2"/>
      <c r="H67" s="2"/>
    </row>
    <row r="68" customFormat="false" ht="15" hidden="false" customHeight="false" outlineLevel="0" collapsed="false">
      <c r="A68" s="19" t="s">
        <v>322</v>
      </c>
      <c r="B68" s="19" t="n">
        <v>7</v>
      </c>
      <c r="C68" s="19" t="s">
        <v>329</v>
      </c>
      <c r="D68" s="24" t="s">
        <v>251</v>
      </c>
      <c r="E68" s="19" t="s">
        <v>291</v>
      </c>
      <c r="F68" s="2"/>
      <c r="G68" s="2"/>
      <c r="H68" s="2"/>
    </row>
    <row r="69" customFormat="false" ht="23.85" hidden="false" customHeight="false" outlineLevel="0" collapsed="false">
      <c r="A69" s="19" t="s">
        <v>322</v>
      </c>
      <c r="B69" s="19" t="n">
        <v>8</v>
      </c>
      <c r="C69" s="19" t="s">
        <v>330</v>
      </c>
      <c r="D69" s="24" t="s">
        <v>251</v>
      </c>
      <c r="E69" s="19" t="s">
        <v>291</v>
      </c>
      <c r="F69" s="2"/>
      <c r="G69" s="2"/>
      <c r="H69" s="2"/>
    </row>
    <row r="70" customFormat="false" ht="23.85" hidden="false" customHeight="false" outlineLevel="0" collapsed="false">
      <c r="A70" s="19" t="s">
        <v>331</v>
      </c>
      <c r="B70" s="19" t="n">
        <v>1</v>
      </c>
      <c r="C70" s="19" t="s">
        <v>332</v>
      </c>
      <c r="D70" s="24" t="s">
        <v>251</v>
      </c>
      <c r="E70" s="19" t="s">
        <v>275</v>
      </c>
      <c r="F70" s="2"/>
      <c r="G70" s="2"/>
      <c r="H70" s="2"/>
    </row>
    <row r="71" customFormat="false" ht="23.85" hidden="false" customHeight="false" outlineLevel="0" collapsed="false">
      <c r="A71" s="19" t="s">
        <v>331</v>
      </c>
      <c r="B71" s="19" t="n">
        <v>2</v>
      </c>
      <c r="C71" s="19" t="s">
        <v>333</v>
      </c>
      <c r="D71" s="24" t="s">
        <v>251</v>
      </c>
      <c r="E71" s="19" t="s">
        <v>278</v>
      </c>
      <c r="F71" s="2"/>
      <c r="G71" s="2"/>
      <c r="H71" s="2"/>
    </row>
    <row r="72" customFormat="false" ht="23.85" hidden="false" customHeight="false" outlineLevel="0" collapsed="false">
      <c r="A72" s="19" t="s">
        <v>331</v>
      </c>
      <c r="B72" s="19" t="n">
        <v>3</v>
      </c>
      <c r="C72" s="19" t="s">
        <v>334</v>
      </c>
      <c r="D72" s="24" t="s">
        <v>251</v>
      </c>
      <c r="E72" s="19" t="s">
        <v>284</v>
      </c>
      <c r="F72" s="2"/>
      <c r="G72" s="2"/>
      <c r="H72" s="2"/>
    </row>
    <row r="73" customFormat="false" ht="23.85" hidden="false" customHeight="false" outlineLevel="0" collapsed="false">
      <c r="A73" s="19" t="s">
        <v>331</v>
      </c>
      <c r="B73" s="19" t="n">
        <v>4</v>
      </c>
      <c r="C73" s="19" t="s">
        <v>335</v>
      </c>
      <c r="D73" s="24" t="s">
        <v>251</v>
      </c>
      <c r="E73" s="19" t="s">
        <v>288</v>
      </c>
      <c r="F73" s="2"/>
      <c r="G73" s="2"/>
      <c r="H73" s="2"/>
    </row>
    <row r="74" customFormat="false" ht="23.85" hidden="false" customHeight="false" outlineLevel="0" collapsed="false">
      <c r="A74" s="19" t="s">
        <v>336</v>
      </c>
      <c r="B74" s="19" t="n">
        <v>1</v>
      </c>
      <c r="C74" s="19" t="s">
        <v>337</v>
      </c>
      <c r="D74" s="24" t="s">
        <v>251</v>
      </c>
      <c r="E74" s="19" t="s">
        <v>275</v>
      </c>
      <c r="F74" s="2"/>
      <c r="G74" s="2"/>
      <c r="H74" s="2"/>
    </row>
    <row r="75" customFormat="false" ht="23.85" hidden="false" customHeight="false" outlineLevel="0" collapsed="false">
      <c r="A75" s="19" t="s">
        <v>336</v>
      </c>
      <c r="B75" s="19" t="n">
        <v>2</v>
      </c>
      <c r="C75" s="19" t="s">
        <v>338</v>
      </c>
      <c r="D75" s="24" t="s">
        <v>251</v>
      </c>
      <c r="E75" s="19" t="s">
        <v>278</v>
      </c>
      <c r="F75" s="2"/>
      <c r="G75" s="2"/>
      <c r="H75" s="2"/>
    </row>
    <row r="76" customFormat="false" ht="15" hidden="false" customHeight="false" outlineLevel="0" collapsed="false">
      <c r="A76" s="19" t="s">
        <v>336</v>
      </c>
      <c r="B76" s="19" t="n">
        <v>3</v>
      </c>
      <c r="C76" s="19" t="s">
        <v>339</v>
      </c>
      <c r="D76" s="24" t="s">
        <v>251</v>
      </c>
      <c r="E76" s="19" t="s">
        <v>284</v>
      </c>
      <c r="F76" s="2"/>
      <c r="G76" s="2"/>
      <c r="H76" s="2"/>
    </row>
    <row r="77" customFormat="false" ht="23.85" hidden="false" customHeight="false" outlineLevel="0" collapsed="false">
      <c r="A77" s="19" t="s">
        <v>340</v>
      </c>
      <c r="B77" s="19" t="n">
        <v>1</v>
      </c>
      <c r="C77" s="19" t="s">
        <v>341</v>
      </c>
      <c r="D77" s="24" t="s">
        <v>251</v>
      </c>
      <c r="E77" s="19" t="s">
        <v>275</v>
      </c>
      <c r="F77" s="2"/>
      <c r="G77" s="2"/>
      <c r="H77" s="2"/>
    </row>
    <row r="78" customFormat="false" ht="23.85" hidden="false" customHeight="false" outlineLevel="0" collapsed="false">
      <c r="A78" s="19" t="s">
        <v>340</v>
      </c>
      <c r="B78" s="19" t="n">
        <v>2</v>
      </c>
      <c r="C78" s="19" t="s">
        <v>342</v>
      </c>
      <c r="D78" s="24" t="s">
        <v>251</v>
      </c>
      <c r="E78" s="19" t="s">
        <v>278</v>
      </c>
      <c r="F78" s="2"/>
      <c r="G78" s="2"/>
      <c r="H78" s="2"/>
    </row>
    <row r="79" customFormat="false" ht="23.85" hidden="false" customHeight="false" outlineLevel="0" collapsed="false">
      <c r="A79" s="19" t="s">
        <v>340</v>
      </c>
      <c r="B79" s="19" t="n">
        <v>3</v>
      </c>
      <c r="C79" s="19" t="s">
        <v>343</v>
      </c>
      <c r="D79" s="24" t="s">
        <v>251</v>
      </c>
      <c r="E79" s="19" t="s">
        <v>284</v>
      </c>
      <c r="F79" s="2"/>
      <c r="G79" s="2"/>
      <c r="H79" s="2"/>
    </row>
    <row r="80" customFormat="false" ht="23.85" hidden="false" customHeight="false" outlineLevel="0" collapsed="false">
      <c r="A80" s="19" t="s">
        <v>340</v>
      </c>
      <c r="B80" s="19" t="n">
        <v>4</v>
      </c>
      <c r="C80" s="19" t="s">
        <v>344</v>
      </c>
      <c r="D80" s="24" t="s">
        <v>251</v>
      </c>
      <c r="E80" s="19" t="s">
        <v>288</v>
      </c>
      <c r="F80" s="2"/>
      <c r="G80" s="2"/>
      <c r="H80" s="2"/>
    </row>
    <row r="81" customFormat="false" ht="23.85" hidden="false" customHeight="false" outlineLevel="0" collapsed="false">
      <c r="A81" s="19" t="s">
        <v>345</v>
      </c>
      <c r="B81" s="19" t="n">
        <v>1</v>
      </c>
      <c r="C81" s="19" t="s">
        <v>346</v>
      </c>
      <c r="D81" s="24" t="s">
        <v>251</v>
      </c>
      <c r="E81" s="19" t="s">
        <v>275</v>
      </c>
      <c r="F81" s="2"/>
      <c r="G81" s="2"/>
      <c r="H81" s="2"/>
    </row>
    <row r="82" customFormat="false" ht="23.85" hidden="false" customHeight="false" outlineLevel="0" collapsed="false">
      <c r="A82" s="19" t="s">
        <v>345</v>
      </c>
      <c r="B82" s="19" t="n">
        <v>2</v>
      </c>
      <c r="C82" s="19" t="s">
        <v>347</v>
      </c>
      <c r="D82" s="24" t="s">
        <v>251</v>
      </c>
      <c r="E82" s="19" t="s">
        <v>278</v>
      </c>
      <c r="F82" s="2"/>
      <c r="G82" s="2"/>
      <c r="H82" s="2"/>
    </row>
    <row r="83" customFormat="false" ht="23.85" hidden="false" customHeight="false" outlineLevel="0" collapsed="false">
      <c r="A83" s="19" t="s">
        <v>345</v>
      </c>
      <c r="B83" s="19" t="n">
        <v>3</v>
      </c>
      <c r="C83" s="19" t="s">
        <v>348</v>
      </c>
      <c r="D83" s="24" t="s">
        <v>251</v>
      </c>
      <c r="E83" s="19" t="s">
        <v>284</v>
      </c>
      <c r="F83" s="2"/>
      <c r="G83" s="2"/>
      <c r="H83" s="2"/>
    </row>
    <row r="84" customFormat="false" ht="23.85" hidden="false" customHeight="false" outlineLevel="0" collapsed="false">
      <c r="A84" s="19" t="s">
        <v>349</v>
      </c>
      <c r="B84" s="19" t="n">
        <v>1</v>
      </c>
      <c r="C84" s="19" t="s">
        <v>350</v>
      </c>
      <c r="D84" s="24" t="s">
        <v>251</v>
      </c>
      <c r="E84" s="19" t="s">
        <v>275</v>
      </c>
      <c r="F84" s="2"/>
      <c r="G84" s="2"/>
      <c r="H84" s="2"/>
    </row>
    <row r="85" customFormat="false" ht="23.85" hidden="false" customHeight="false" outlineLevel="0" collapsed="false">
      <c r="A85" s="19" t="s">
        <v>349</v>
      </c>
      <c r="B85" s="19" t="n">
        <v>2</v>
      </c>
      <c r="C85" s="19" t="s">
        <v>351</v>
      </c>
      <c r="D85" s="24" t="s">
        <v>251</v>
      </c>
      <c r="E85" s="19" t="s">
        <v>278</v>
      </c>
      <c r="F85" s="2"/>
      <c r="G85" s="2"/>
      <c r="H85" s="2"/>
    </row>
    <row r="86" customFormat="false" ht="23.85" hidden="false" customHeight="false" outlineLevel="0" collapsed="false">
      <c r="A86" s="19" t="s">
        <v>349</v>
      </c>
      <c r="B86" s="19" t="n">
        <v>3</v>
      </c>
      <c r="C86" s="19" t="s">
        <v>352</v>
      </c>
      <c r="D86" s="24" t="s">
        <v>251</v>
      </c>
      <c r="E86" s="19" t="s">
        <v>284</v>
      </c>
      <c r="F86" s="2"/>
      <c r="G86" s="2"/>
      <c r="H86" s="2"/>
    </row>
    <row r="87" customFormat="false" ht="15" hidden="false" customHeight="false" outlineLevel="0" collapsed="false">
      <c r="A87" s="19" t="s">
        <v>353</v>
      </c>
      <c r="B87" s="19" t="n">
        <v>1</v>
      </c>
      <c r="C87" s="19" t="s">
        <v>354</v>
      </c>
      <c r="D87" s="24" t="s">
        <v>251</v>
      </c>
      <c r="E87" s="19" t="s">
        <v>275</v>
      </c>
      <c r="F87" s="2"/>
      <c r="G87" s="2"/>
      <c r="H87" s="2"/>
    </row>
    <row r="88" customFormat="false" ht="23.85" hidden="false" customHeight="false" outlineLevel="0" collapsed="false">
      <c r="A88" s="19" t="s">
        <v>353</v>
      </c>
      <c r="B88" s="19" t="n">
        <v>2</v>
      </c>
      <c r="C88" s="19" t="s">
        <v>355</v>
      </c>
      <c r="D88" s="24" t="s">
        <v>251</v>
      </c>
      <c r="E88" s="19" t="s">
        <v>278</v>
      </c>
      <c r="F88" s="2"/>
      <c r="G88" s="2"/>
      <c r="H88" s="2"/>
    </row>
    <row r="89" customFormat="false" ht="23.85" hidden="false" customHeight="false" outlineLevel="0" collapsed="false">
      <c r="A89" s="19" t="s">
        <v>353</v>
      </c>
      <c r="B89" s="19" t="n">
        <v>3</v>
      </c>
      <c r="C89" s="19" t="s">
        <v>356</v>
      </c>
      <c r="D89" s="24" t="s">
        <v>251</v>
      </c>
      <c r="E89" s="19" t="s">
        <v>284</v>
      </c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46"/>
    <col collapsed="false" customWidth="true" hidden="false" outlineLevel="0" max="8" min="8" style="0" width="15"/>
  </cols>
  <sheetData>
    <row r="1" customFormat="false" ht="26.85" hidden="false" customHeight="false" outlineLevel="0" collapsed="false">
      <c r="A1" s="18" t="s">
        <v>51</v>
      </c>
      <c r="B1" s="18" t="s">
        <v>357</v>
      </c>
      <c r="C1" s="18" t="s">
        <v>358</v>
      </c>
      <c r="D1" s="18" t="s">
        <v>359</v>
      </c>
      <c r="E1" s="18" t="s">
        <v>360</v>
      </c>
      <c r="F1" s="18" t="s">
        <v>361</v>
      </c>
      <c r="G1" s="18" t="s">
        <v>362</v>
      </c>
      <c r="H1" s="18" t="s">
        <v>363</v>
      </c>
      <c r="I1" s="2"/>
      <c r="J1" s="2"/>
      <c r="K1" s="2"/>
    </row>
    <row r="2" customFormat="false" ht="15" hidden="false" customHeight="false" outlineLevel="0" collapsed="false">
      <c r="A2" s="28" t="s">
        <v>249</v>
      </c>
      <c r="B2" s="28" t="s">
        <v>364</v>
      </c>
      <c r="C2" s="28" t="s">
        <v>365</v>
      </c>
      <c r="D2" s="28" t="s">
        <v>123</v>
      </c>
      <c r="E2" s="28" t="n">
        <v>8.5</v>
      </c>
      <c r="F2" s="28"/>
      <c r="G2" s="28"/>
      <c r="H2" s="28" t="s">
        <v>366</v>
      </c>
      <c r="I2" s="2"/>
      <c r="J2" s="2"/>
      <c r="K2" s="2"/>
    </row>
    <row r="3" customFormat="false" ht="23.85" hidden="false" customHeight="false" outlineLevel="0" collapsed="false">
      <c r="A3" s="28" t="s">
        <v>249</v>
      </c>
      <c r="B3" s="28" t="s">
        <v>367</v>
      </c>
      <c r="C3" s="28" t="s">
        <v>368</v>
      </c>
      <c r="D3" s="28" t="s">
        <v>123</v>
      </c>
      <c r="E3" s="28" t="n">
        <v>8.5</v>
      </c>
      <c r="F3" s="28"/>
      <c r="G3" s="28"/>
      <c r="H3" s="28" t="s">
        <v>366</v>
      </c>
      <c r="I3" s="2"/>
      <c r="J3" s="2"/>
      <c r="K3" s="2"/>
    </row>
    <row r="4" customFormat="false" ht="15" hidden="false" customHeight="false" outlineLevel="0" collapsed="false">
      <c r="A4" s="28" t="s">
        <v>249</v>
      </c>
      <c r="B4" s="28" t="s">
        <v>369</v>
      </c>
      <c r="C4" s="28" t="s">
        <v>370</v>
      </c>
      <c r="D4" s="28" t="s">
        <v>123</v>
      </c>
      <c r="E4" s="28" t="n">
        <v>9</v>
      </c>
      <c r="F4" s="28"/>
      <c r="G4" s="28"/>
      <c r="H4" s="28" t="s">
        <v>366</v>
      </c>
      <c r="I4" s="2"/>
      <c r="J4" s="2"/>
      <c r="K4" s="2"/>
    </row>
    <row r="5" customFormat="false" ht="15" hidden="false" customHeight="false" outlineLevel="0" collapsed="false">
      <c r="A5" s="28" t="s">
        <v>249</v>
      </c>
      <c r="B5" s="28" t="s">
        <v>371</v>
      </c>
      <c r="C5" s="28" t="s">
        <v>372</v>
      </c>
      <c r="D5" s="28" t="s">
        <v>123</v>
      </c>
      <c r="E5" s="28" t="n">
        <v>8.5</v>
      </c>
      <c r="F5" s="28"/>
      <c r="G5" s="28"/>
      <c r="H5" s="28" t="s">
        <v>366</v>
      </c>
      <c r="I5" s="2"/>
      <c r="J5" s="2"/>
      <c r="K5" s="2"/>
    </row>
    <row r="6" customFormat="false" ht="15" hidden="false" customHeight="false" outlineLevel="0" collapsed="false">
      <c r="A6" s="28" t="s">
        <v>249</v>
      </c>
      <c r="B6" s="28" t="s">
        <v>373</v>
      </c>
      <c r="C6" s="28" t="s">
        <v>374</v>
      </c>
      <c r="D6" s="28" t="s">
        <v>375</v>
      </c>
      <c r="E6" s="28" t="n">
        <v>9</v>
      </c>
      <c r="F6" s="28"/>
      <c r="G6" s="28"/>
      <c r="H6" s="28" t="s">
        <v>366</v>
      </c>
      <c r="I6" s="2"/>
      <c r="J6" s="2"/>
      <c r="K6" s="2"/>
    </row>
    <row r="7" customFormat="false" ht="15" hidden="false" customHeight="false" outlineLevel="0" collapsed="false">
      <c r="A7" s="28" t="s">
        <v>249</v>
      </c>
      <c r="B7" s="28" t="s">
        <v>376</v>
      </c>
      <c r="C7" s="28" t="s">
        <v>377</v>
      </c>
      <c r="D7" s="28" t="s">
        <v>123</v>
      </c>
      <c r="E7" s="28" t="n">
        <v>9</v>
      </c>
      <c r="F7" s="28"/>
      <c r="G7" s="28"/>
      <c r="H7" s="28" t="s">
        <v>366</v>
      </c>
      <c r="I7" s="2"/>
      <c r="J7" s="2"/>
      <c r="K7" s="2"/>
    </row>
    <row r="8" customFormat="false" ht="15" hidden="false" customHeight="false" outlineLevel="0" collapsed="false">
      <c r="A8" s="28" t="s">
        <v>249</v>
      </c>
      <c r="B8" s="28" t="s">
        <v>378</v>
      </c>
      <c r="C8" s="28" t="s">
        <v>379</v>
      </c>
      <c r="D8" s="28" t="s">
        <v>123</v>
      </c>
      <c r="E8" s="28" t="n">
        <v>9</v>
      </c>
      <c r="F8" s="28"/>
      <c r="G8" s="28"/>
      <c r="H8" s="28" t="s">
        <v>366</v>
      </c>
      <c r="I8" s="2"/>
      <c r="J8" s="2"/>
      <c r="K8" s="2"/>
    </row>
    <row r="9" customFormat="false" ht="15" hidden="false" customHeight="false" outlineLevel="0" collapsed="false">
      <c r="A9" s="28" t="s">
        <v>249</v>
      </c>
      <c r="B9" s="28" t="s">
        <v>380</v>
      </c>
      <c r="C9" s="28" t="s">
        <v>381</v>
      </c>
      <c r="D9" s="28" t="s">
        <v>123</v>
      </c>
      <c r="E9" s="28" t="n">
        <v>8.5</v>
      </c>
      <c r="F9" s="28"/>
      <c r="G9" s="28"/>
      <c r="H9" s="28" t="s">
        <v>366</v>
      </c>
      <c r="I9" s="2"/>
      <c r="J9" s="2"/>
      <c r="K9" s="2"/>
    </row>
    <row r="10" customFormat="false" ht="23.85" hidden="false" customHeight="false" outlineLevel="0" collapsed="false">
      <c r="A10" s="28" t="s">
        <v>249</v>
      </c>
      <c r="B10" s="28" t="s">
        <v>382</v>
      </c>
      <c r="C10" s="28" t="s">
        <v>383</v>
      </c>
      <c r="D10" s="28" t="s">
        <v>123</v>
      </c>
      <c r="E10" s="28" t="n">
        <v>8.5</v>
      </c>
      <c r="F10" s="28"/>
      <c r="G10" s="28"/>
      <c r="H10" s="28" t="s">
        <v>366</v>
      </c>
      <c r="I10" s="2"/>
      <c r="J10" s="2"/>
      <c r="K10" s="2"/>
    </row>
    <row r="11" customFormat="false" ht="23.85" hidden="false" customHeight="false" outlineLevel="0" collapsed="false">
      <c r="A11" s="28" t="s">
        <v>260</v>
      </c>
      <c r="B11" s="28" t="s">
        <v>384</v>
      </c>
      <c r="C11" s="28" t="s">
        <v>385</v>
      </c>
      <c r="D11" s="28" t="s">
        <v>123</v>
      </c>
      <c r="E11" s="28" t="n">
        <v>8.5</v>
      </c>
      <c r="F11" s="28"/>
      <c r="G11" s="28"/>
      <c r="H11" s="28" t="s">
        <v>386</v>
      </c>
      <c r="I11" s="2"/>
      <c r="J11" s="2"/>
      <c r="K11" s="2"/>
    </row>
    <row r="12" customFormat="false" ht="23.85" hidden="false" customHeight="false" outlineLevel="0" collapsed="false">
      <c r="A12" s="28" t="s">
        <v>260</v>
      </c>
      <c r="B12" s="28" t="s">
        <v>387</v>
      </c>
      <c r="C12" s="28" t="s">
        <v>388</v>
      </c>
      <c r="D12" s="28" t="s">
        <v>123</v>
      </c>
      <c r="E12" s="28" t="n">
        <v>9</v>
      </c>
      <c r="F12" s="28"/>
      <c r="G12" s="28"/>
      <c r="H12" s="28" t="s">
        <v>386</v>
      </c>
      <c r="I12" s="2"/>
      <c r="J12" s="2"/>
      <c r="K12" s="2"/>
    </row>
    <row r="13" customFormat="false" ht="23.85" hidden="false" customHeight="false" outlineLevel="0" collapsed="false">
      <c r="A13" s="28" t="s">
        <v>260</v>
      </c>
      <c r="B13" s="28" t="s">
        <v>389</v>
      </c>
      <c r="C13" s="28" t="s">
        <v>390</v>
      </c>
      <c r="D13" s="28" t="s">
        <v>123</v>
      </c>
      <c r="E13" s="28" t="n">
        <v>8.5</v>
      </c>
      <c r="F13" s="28"/>
      <c r="G13" s="28"/>
      <c r="H13" s="28" t="s">
        <v>386</v>
      </c>
      <c r="I13" s="2"/>
      <c r="J13" s="2"/>
      <c r="K13" s="2"/>
    </row>
    <row r="14" customFormat="false" ht="23.85" hidden="false" customHeight="false" outlineLevel="0" collapsed="false">
      <c r="A14" s="28" t="s">
        <v>260</v>
      </c>
      <c r="B14" s="28" t="s">
        <v>391</v>
      </c>
      <c r="C14" s="28" t="s">
        <v>392</v>
      </c>
      <c r="D14" s="28" t="s">
        <v>123</v>
      </c>
      <c r="E14" s="28" t="n">
        <v>8.5</v>
      </c>
      <c r="F14" s="28"/>
      <c r="G14" s="28"/>
      <c r="H14" s="28" t="s">
        <v>386</v>
      </c>
      <c r="I14" s="2"/>
      <c r="J14" s="2"/>
      <c r="K14" s="2"/>
    </row>
    <row r="15" customFormat="false" ht="23.85" hidden="false" customHeight="false" outlineLevel="0" collapsed="false">
      <c r="A15" s="28" t="s">
        <v>260</v>
      </c>
      <c r="B15" s="28" t="s">
        <v>393</v>
      </c>
      <c r="C15" s="28" t="s">
        <v>394</v>
      </c>
      <c r="D15" s="28" t="s">
        <v>123</v>
      </c>
      <c r="E15" s="28" t="n">
        <v>8.5</v>
      </c>
      <c r="F15" s="28"/>
      <c r="G15" s="28"/>
      <c r="H15" s="28" t="s">
        <v>386</v>
      </c>
      <c r="I15" s="2"/>
      <c r="J15" s="2"/>
      <c r="K15" s="2"/>
    </row>
    <row r="16" customFormat="false" ht="23.85" hidden="false" customHeight="false" outlineLevel="0" collapsed="false">
      <c r="A16" s="28" t="s">
        <v>260</v>
      </c>
      <c r="B16" s="28" t="s">
        <v>395</v>
      </c>
      <c r="C16" s="28" t="s">
        <v>396</v>
      </c>
      <c r="D16" s="28" t="s">
        <v>123</v>
      </c>
      <c r="E16" s="28" t="n">
        <v>8.5</v>
      </c>
      <c r="F16" s="28"/>
      <c r="G16" s="28"/>
      <c r="H16" s="28" t="s">
        <v>386</v>
      </c>
      <c r="I16" s="2"/>
      <c r="J16" s="2"/>
      <c r="K16" s="2"/>
    </row>
    <row r="17" customFormat="false" ht="23.85" hidden="false" customHeight="false" outlineLevel="0" collapsed="false">
      <c r="A17" s="28" t="s">
        <v>260</v>
      </c>
      <c r="B17" s="28" t="s">
        <v>148</v>
      </c>
      <c r="C17" s="28" t="s">
        <v>397</v>
      </c>
      <c r="D17" s="28" t="s">
        <v>123</v>
      </c>
      <c r="E17" s="28" t="n">
        <v>8.5</v>
      </c>
      <c r="F17" s="28"/>
      <c r="G17" s="28"/>
      <c r="H17" s="28" t="s">
        <v>386</v>
      </c>
      <c r="I17" s="2"/>
      <c r="J17" s="2"/>
      <c r="K17" s="2"/>
    </row>
    <row r="18" customFormat="false" ht="23.85" hidden="false" customHeight="false" outlineLevel="0" collapsed="false">
      <c r="A18" s="28" t="s">
        <v>260</v>
      </c>
      <c r="B18" s="28" t="s">
        <v>398</v>
      </c>
      <c r="C18" s="28" t="s">
        <v>399</v>
      </c>
      <c r="D18" s="28" t="s">
        <v>123</v>
      </c>
      <c r="E18" s="28" t="n">
        <v>8.5</v>
      </c>
      <c r="F18" s="28"/>
      <c r="G18" s="28"/>
      <c r="H18" s="28" t="s">
        <v>386</v>
      </c>
      <c r="I18" s="2"/>
      <c r="J18" s="2"/>
      <c r="K18" s="2"/>
    </row>
    <row r="19" customFormat="false" ht="23.85" hidden="false" customHeight="false" outlineLevel="0" collapsed="false">
      <c r="A19" s="28" t="s">
        <v>271</v>
      </c>
      <c r="B19" s="28" t="s">
        <v>400</v>
      </c>
      <c r="C19" s="28" t="s">
        <v>401</v>
      </c>
      <c r="D19" s="28" t="s">
        <v>123</v>
      </c>
      <c r="E19" s="28" t="n">
        <v>8.5</v>
      </c>
      <c r="F19" s="28"/>
      <c r="G19" s="28"/>
      <c r="H19" s="28" t="s">
        <v>402</v>
      </c>
      <c r="I19" s="2"/>
      <c r="J19" s="2"/>
      <c r="K19" s="2"/>
    </row>
    <row r="20" customFormat="false" ht="23.85" hidden="false" customHeight="false" outlineLevel="0" collapsed="false">
      <c r="A20" s="28" t="s">
        <v>271</v>
      </c>
      <c r="B20" s="28" t="s">
        <v>403</v>
      </c>
      <c r="C20" s="28" t="s">
        <v>404</v>
      </c>
      <c r="D20" s="28" t="s">
        <v>123</v>
      </c>
      <c r="E20" s="28" t="n">
        <v>8.5</v>
      </c>
      <c r="F20" s="28"/>
      <c r="G20" s="28"/>
      <c r="H20" s="28" t="s">
        <v>402</v>
      </c>
      <c r="I20" s="2"/>
      <c r="J20" s="2"/>
      <c r="K20" s="2"/>
    </row>
    <row r="21" customFormat="false" ht="15" hidden="false" customHeight="false" outlineLevel="0" collapsed="false">
      <c r="A21" s="28" t="s">
        <v>271</v>
      </c>
      <c r="B21" s="28" t="s">
        <v>405</v>
      </c>
      <c r="C21" s="28" t="s">
        <v>406</v>
      </c>
      <c r="D21" s="28" t="s">
        <v>123</v>
      </c>
      <c r="E21" s="28" t="n">
        <v>8.5</v>
      </c>
      <c r="F21" s="28"/>
      <c r="G21" s="28"/>
      <c r="H21" s="28" t="s">
        <v>402</v>
      </c>
      <c r="I21" s="2"/>
      <c r="J21" s="2"/>
      <c r="K21" s="2"/>
    </row>
    <row r="22" customFormat="false" ht="23.85" hidden="false" customHeight="false" outlineLevel="0" collapsed="false">
      <c r="A22" s="28" t="s">
        <v>271</v>
      </c>
      <c r="B22" s="28" t="s">
        <v>407</v>
      </c>
      <c r="C22" s="28" t="s">
        <v>408</v>
      </c>
      <c r="D22" s="28" t="s">
        <v>123</v>
      </c>
      <c r="E22" s="28" t="n">
        <v>8.5</v>
      </c>
      <c r="F22" s="28"/>
      <c r="G22" s="28"/>
      <c r="H22" s="28" t="s">
        <v>402</v>
      </c>
      <c r="I22" s="2"/>
      <c r="J22" s="2"/>
      <c r="K22" s="2"/>
    </row>
    <row r="23" customFormat="false" ht="23.85" hidden="false" customHeight="false" outlineLevel="0" collapsed="false">
      <c r="A23" s="28" t="s">
        <v>271</v>
      </c>
      <c r="B23" s="28" t="s">
        <v>248</v>
      </c>
      <c r="C23" s="28" t="s">
        <v>409</v>
      </c>
      <c r="D23" s="28" t="s">
        <v>123</v>
      </c>
      <c r="E23" s="28" t="n">
        <v>8.5</v>
      </c>
      <c r="F23" s="28"/>
      <c r="G23" s="28"/>
      <c r="H23" s="28" t="s">
        <v>402</v>
      </c>
      <c r="I23" s="2"/>
      <c r="J23" s="2"/>
      <c r="K23" s="2"/>
    </row>
    <row r="24" customFormat="false" ht="23.85" hidden="false" customHeight="false" outlineLevel="0" collapsed="false">
      <c r="A24" s="28" t="s">
        <v>271</v>
      </c>
      <c r="B24" s="28" t="s">
        <v>410</v>
      </c>
      <c r="C24" s="28" t="s">
        <v>411</v>
      </c>
      <c r="D24" s="28" t="s">
        <v>123</v>
      </c>
      <c r="E24" s="28" t="n">
        <v>8.5</v>
      </c>
      <c r="F24" s="28"/>
      <c r="G24" s="28"/>
      <c r="H24" s="28" t="s">
        <v>402</v>
      </c>
      <c r="I24" s="2"/>
      <c r="J24" s="2"/>
      <c r="K24" s="2"/>
    </row>
    <row r="25" customFormat="false" ht="35.05" hidden="false" customHeight="false" outlineLevel="0" collapsed="false">
      <c r="A25" s="28" t="s">
        <v>271</v>
      </c>
      <c r="B25" s="28" t="s">
        <v>412</v>
      </c>
      <c r="C25" s="28" t="s">
        <v>413</v>
      </c>
      <c r="D25" s="28" t="s">
        <v>123</v>
      </c>
      <c r="E25" s="28" t="n">
        <v>8</v>
      </c>
      <c r="F25" s="28"/>
      <c r="G25" s="28"/>
      <c r="H25" s="28" t="s">
        <v>402</v>
      </c>
      <c r="I25" s="2"/>
      <c r="J25" s="2"/>
      <c r="K25" s="2"/>
    </row>
    <row r="26" customFormat="false" ht="46.25" hidden="false" customHeight="false" outlineLevel="0" collapsed="false">
      <c r="A26" s="28" t="s">
        <v>271</v>
      </c>
      <c r="B26" s="28" t="s">
        <v>414</v>
      </c>
      <c r="C26" s="28" t="s">
        <v>415</v>
      </c>
      <c r="D26" s="28" t="s">
        <v>123</v>
      </c>
      <c r="E26" s="28" t="n">
        <v>8.5</v>
      </c>
      <c r="F26" s="28"/>
      <c r="G26" s="28"/>
      <c r="H26" s="28" t="s">
        <v>402</v>
      </c>
      <c r="I26" s="2"/>
      <c r="J26" s="2"/>
      <c r="K26" s="2"/>
    </row>
    <row r="27" customFormat="false" ht="35.05" hidden="false" customHeight="false" outlineLevel="0" collapsed="false">
      <c r="A27" s="28" t="s">
        <v>271</v>
      </c>
      <c r="B27" s="28" t="s">
        <v>291</v>
      </c>
      <c r="C27" s="28" t="s">
        <v>416</v>
      </c>
      <c r="D27" s="28" t="s">
        <v>123</v>
      </c>
      <c r="E27" s="28" t="n">
        <v>8.5</v>
      </c>
      <c r="F27" s="28"/>
      <c r="G27" s="28"/>
      <c r="H27" s="28" t="s">
        <v>402</v>
      </c>
      <c r="I27" s="2"/>
      <c r="J27" s="2"/>
      <c r="K27" s="2"/>
    </row>
    <row r="28" customFormat="false" ht="46.25" hidden="false" customHeight="false" outlineLevel="0" collapsed="false">
      <c r="A28" s="28" t="s">
        <v>294</v>
      </c>
      <c r="B28" s="28" t="s">
        <v>417</v>
      </c>
      <c r="C28" s="28" t="s">
        <v>418</v>
      </c>
      <c r="D28" s="28" t="s">
        <v>123</v>
      </c>
      <c r="E28" s="28" t="n">
        <v>8.5</v>
      </c>
      <c r="F28" s="28"/>
      <c r="G28" s="28"/>
      <c r="H28" s="28" t="s">
        <v>419</v>
      </c>
      <c r="I28" s="2"/>
      <c r="J28" s="2"/>
      <c r="K28" s="2"/>
    </row>
    <row r="29" customFormat="false" ht="46.25" hidden="false" customHeight="false" outlineLevel="0" collapsed="false">
      <c r="A29" s="28" t="s">
        <v>294</v>
      </c>
      <c r="B29" s="28" t="s">
        <v>420</v>
      </c>
      <c r="C29" s="28" t="s">
        <v>421</v>
      </c>
      <c r="D29" s="28" t="s">
        <v>123</v>
      </c>
      <c r="E29" s="28" t="n">
        <v>8.5</v>
      </c>
      <c r="F29" s="28"/>
      <c r="G29" s="28"/>
      <c r="H29" s="28" t="s">
        <v>419</v>
      </c>
      <c r="I29" s="2"/>
      <c r="J29" s="2"/>
      <c r="K29" s="2"/>
    </row>
    <row r="30" customFormat="false" ht="46.25" hidden="false" customHeight="false" outlineLevel="0" collapsed="false">
      <c r="A30" s="28" t="s">
        <v>294</v>
      </c>
      <c r="B30" s="28" t="s">
        <v>422</v>
      </c>
      <c r="C30" s="28" t="s">
        <v>423</v>
      </c>
      <c r="D30" s="28" t="s">
        <v>123</v>
      </c>
      <c r="E30" s="28" t="n">
        <v>8.5</v>
      </c>
      <c r="F30" s="28"/>
      <c r="G30" s="28"/>
      <c r="H30" s="28" t="s">
        <v>419</v>
      </c>
      <c r="I30" s="2"/>
      <c r="J30" s="2"/>
      <c r="K30" s="2"/>
    </row>
    <row r="31" customFormat="false" ht="46.25" hidden="false" customHeight="false" outlineLevel="0" collapsed="false">
      <c r="A31" s="28" t="s">
        <v>309</v>
      </c>
      <c r="B31" s="28" t="s">
        <v>424</v>
      </c>
      <c r="C31" s="28" t="s">
        <v>425</v>
      </c>
      <c r="D31" s="28" t="s">
        <v>123</v>
      </c>
      <c r="E31" s="28" t="n">
        <v>8.5</v>
      </c>
      <c r="F31" s="28"/>
      <c r="G31" s="28"/>
      <c r="H31" s="28" t="s">
        <v>426</v>
      </c>
      <c r="I31" s="2"/>
      <c r="J31" s="2"/>
      <c r="K31" s="2"/>
    </row>
    <row r="32" customFormat="false" ht="57.45" hidden="false" customHeight="false" outlineLevel="0" collapsed="false">
      <c r="A32" s="28" t="s">
        <v>309</v>
      </c>
      <c r="B32" s="28" t="s">
        <v>414</v>
      </c>
      <c r="C32" s="28" t="s">
        <v>427</v>
      </c>
      <c r="D32" s="28" t="s">
        <v>123</v>
      </c>
      <c r="E32" s="28" t="n">
        <v>8</v>
      </c>
      <c r="F32" s="28"/>
      <c r="G32" s="28"/>
      <c r="H32" s="28" t="s">
        <v>426</v>
      </c>
      <c r="I32" s="2"/>
      <c r="J32" s="2"/>
      <c r="K32" s="2"/>
    </row>
    <row r="33" customFormat="false" ht="35.05" hidden="false" customHeight="false" outlineLevel="0" collapsed="false">
      <c r="A33" s="28" t="s">
        <v>309</v>
      </c>
      <c r="B33" s="28" t="s">
        <v>428</v>
      </c>
      <c r="C33" s="28" t="s">
        <v>429</v>
      </c>
      <c r="D33" s="28" t="s">
        <v>123</v>
      </c>
      <c r="E33" s="28" t="n">
        <v>9</v>
      </c>
      <c r="F33" s="28"/>
      <c r="G33" s="28"/>
      <c r="H33" s="28" t="s">
        <v>426</v>
      </c>
      <c r="I33" s="2"/>
      <c r="J33" s="2"/>
      <c r="K33" s="2"/>
    </row>
    <row r="34" customFormat="false" ht="35.05" hidden="false" customHeight="false" outlineLevel="0" collapsed="false">
      <c r="A34" s="28" t="s">
        <v>309</v>
      </c>
      <c r="B34" s="28" t="s">
        <v>430</v>
      </c>
      <c r="C34" s="28" t="s">
        <v>431</v>
      </c>
      <c r="D34" s="28" t="s">
        <v>123</v>
      </c>
      <c r="E34" s="28" t="n">
        <v>8.5</v>
      </c>
      <c r="F34" s="28"/>
      <c r="G34" s="28"/>
      <c r="H34" s="28" t="s">
        <v>426</v>
      </c>
      <c r="I34" s="2"/>
      <c r="J34" s="2"/>
      <c r="K34" s="2"/>
    </row>
    <row r="35" customFormat="false" ht="23.85" hidden="false" customHeight="false" outlineLevel="0" collapsed="false">
      <c r="A35" s="28" t="s">
        <v>309</v>
      </c>
      <c r="B35" s="28" t="s">
        <v>432</v>
      </c>
      <c r="C35" s="28" t="s">
        <v>433</v>
      </c>
      <c r="D35" s="28" t="s">
        <v>123</v>
      </c>
      <c r="E35" s="28" t="n">
        <v>8.5</v>
      </c>
      <c r="F35" s="28"/>
      <c r="G35" s="28"/>
      <c r="H35" s="28" t="s">
        <v>426</v>
      </c>
      <c r="I35" s="2"/>
      <c r="J35" s="2"/>
      <c r="K35" s="2"/>
    </row>
    <row r="36" customFormat="false" ht="46.25" hidden="false" customHeight="false" outlineLevel="0" collapsed="false">
      <c r="A36" s="28" t="s">
        <v>322</v>
      </c>
      <c r="B36" s="28" t="s">
        <v>434</v>
      </c>
      <c r="C36" s="28" t="s">
        <v>435</v>
      </c>
      <c r="D36" s="28" t="s">
        <v>123</v>
      </c>
      <c r="E36" s="28" t="n">
        <v>8.5</v>
      </c>
      <c r="F36" s="28"/>
      <c r="G36" s="28"/>
      <c r="H36" s="28" t="s">
        <v>436</v>
      </c>
      <c r="I36" s="2"/>
      <c r="J36" s="2"/>
      <c r="K36" s="2"/>
    </row>
    <row r="37" customFormat="false" ht="35.05" hidden="false" customHeight="false" outlineLevel="0" collapsed="false">
      <c r="A37" s="28" t="s">
        <v>322</v>
      </c>
      <c r="B37" s="28" t="s">
        <v>437</v>
      </c>
      <c r="C37" s="28" t="s">
        <v>438</v>
      </c>
      <c r="D37" s="28" t="s">
        <v>123</v>
      </c>
      <c r="E37" s="28" t="n">
        <v>8</v>
      </c>
      <c r="F37" s="28"/>
      <c r="G37" s="28"/>
      <c r="H37" s="28" t="s">
        <v>436</v>
      </c>
      <c r="I37" s="2"/>
      <c r="J37" s="2"/>
      <c r="K37" s="2"/>
    </row>
    <row r="38" customFormat="false" ht="57.45" hidden="false" customHeight="false" outlineLevel="0" collapsed="false">
      <c r="A38" s="29" t="s">
        <v>322</v>
      </c>
      <c r="B38" s="29" t="s">
        <v>439</v>
      </c>
      <c r="C38" s="29" t="s">
        <v>440</v>
      </c>
      <c r="D38" s="29" t="s">
        <v>441</v>
      </c>
      <c r="E38" s="30" t="n">
        <v>7.5</v>
      </c>
      <c r="F38" s="30" t="s">
        <v>442</v>
      </c>
      <c r="G38" s="29" t="s">
        <v>443</v>
      </c>
      <c r="H38" s="29" t="s">
        <v>436</v>
      </c>
      <c r="I38" s="2"/>
      <c r="J38" s="2"/>
      <c r="K38" s="2"/>
    </row>
    <row r="39" customFormat="false" ht="46.25" hidden="false" customHeight="false" outlineLevel="0" collapsed="false">
      <c r="A39" s="28" t="s">
        <v>331</v>
      </c>
      <c r="B39" s="28" t="s">
        <v>444</v>
      </c>
      <c r="C39" s="28" t="s">
        <v>445</v>
      </c>
      <c r="D39" s="28" t="s">
        <v>123</v>
      </c>
      <c r="E39" s="28" t="n">
        <v>8.5</v>
      </c>
      <c r="F39" s="28"/>
      <c r="G39" s="28"/>
      <c r="H39" s="28" t="s">
        <v>446</v>
      </c>
      <c r="I39" s="2"/>
      <c r="J39" s="2"/>
      <c r="K39" s="2"/>
    </row>
    <row r="40" customFormat="false" ht="46.25" hidden="false" customHeight="false" outlineLevel="0" collapsed="false">
      <c r="A40" s="28" t="s">
        <v>331</v>
      </c>
      <c r="B40" s="28" t="s">
        <v>447</v>
      </c>
      <c r="C40" s="28" t="s">
        <v>448</v>
      </c>
      <c r="D40" s="28" t="s">
        <v>123</v>
      </c>
      <c r="E40" s="28" t="n">
        <v>8.5</v>
      </c>
      <c r="F40" s="28"/>
      <c r="G40" s="28"/>
      <c r="H40" s="28" t="s">
        <v>446</v>
      </c>
      <c r="I40" s="2"/>
      <c r="J40" s="2"/>
      <c r="K40" s="2"/>
    </row>
    <row r="41" customFormat="false" ht="46.25" hidden="false" customHeight="false" outlineLevel="0" collapsed="false">
      <c r="A41" s="28" t="s">
        <v>331</v>
      </c>
      <c r="B41" s="28" t="s">
        <v>449</v>
      </c>
      <c r="C41" s="28" t="s">
        <v>450</v>
      </c>
      <c r="D41" s="28" t="s">
        <v>123</v>
      </c>
      <c r="E41" s="28" t="n">
        <v>8.5</v>
      </c>
      <c r="F41" s="28"/>
      <c r="G41" s="28"/>
      <c r="H41" s="28" t="s">
        <v>446</v>
      </c>
      <c r="I41" s="2"/>
      <c r="J41" s="2"/>
      <c r="K41" s="2"/>
    </row>
    <row r="42" customFormat="false" ht="46.25" hidden="false" customHeight="false" outlineLevel="0" collapsed="false">
      <c r="A42" s="28" t="s">
        <v>331</v>
      </c>
      <c r="B42" s="28" t="s">
        <v>451</v>
      </c>
      <c r="C42" s="28" t="s">
        <v>452</v>
      </c>
      <c r="D42" s="28" t="s">
        <v>123</v>
      </c>
      <c r="E42" s="28" t="n">
        <v>8.5</v>
      </c>
      <c r="F42" s="28"/>
      <c r="G42" s="28"/>
      <c r="H42" s="28" t="s">
        <v>446</v>
      </c>
      <c r="I42" s="2"/>
      <c r="J42" s="2"/>
      <c r="K42" s="2"/>
    </row>
    <row r="43" customFormat="false" ht="35.05" hidden="false" customHeight="false" outlineLevel="0" collapsed="false">
      <c r="A43" s="28" t="s">
        <v>331</v>
      </c>
      <c r="B43" s="28" t="s">
        <v>453</v>
      </c>
      <c r="C43" s="28" t="s">
        <v>454</v>
      </c>
      <c r="D43" s="28" t="s">
        <v>123</v>
      </c>
      <c r="E43" s="28" t="n">
        <v>8.5</v>
      </c>
      <c r="F43" s="28"/>
      <c r="G43" s="28"/>
      <c r="H43" s="28" t="s">
        <v>455</v>
      </c>
      <c r="I43" s="2"/>
      <c r="J43" s="2"/>
      <c r="K43" s="2"/>
    </row>
    <row r="44" customFormat="false" ht="57.45" hidden="false" customHeight="false" outlineLevel="0" collapsed="false">
      <c r="A44" s="28" t="s">
        <v>336</v>
      </c>
      <c r="B44" s="28" t="s">
        <v>456</v>
      </c>
      <c r="C44" s="28" t="s">
        <v>457</v>
      </c>
      <c r="D44" s="28" t="s">
        <v>123</v>
      </c>
      <c r="E44" s="28" t="n">
        <v>8.5</v>
      </c>
      <c r="F44" s="28"/>
      <c r="G44" s="28"/>
      <c r="H44" s="28" t="s">
        <v>446</v>
      </c>
      <c r="I44" s="2"/>
      <c r="J44" s="2"/>
      <c r="K44" s="2"/>
    </row>
    <row r="45" customFormat="false" ht="46.25" hidden="false" customHeight="false" outlineLevel="0" collapsed="false">
      <c r="A45" s="28" t="s">
        <v>336</v>
      </c>
      <c r="B45" s="28" t="s">
        <v>458</v>
      </c>
      <c r="C45" s="28" t="s">
        <v>459</v>
      </c>
      <c r="D45" s="28" t="s">
        <v>123</v>
      </c>
      <c r="E45" s="28" t="n">
        <v>8.5</v>
      </c>
      <c r="F45" s="28"/>
      <c r="G45" s="28"/>
      <c r="H45" s="28" t="s">
        <v>446</v>
      </c>
      <c r="I45" s="2"/>
      <c r="J45" s="2"/>
      <c r="K45" s="2"/>
    </row>
    <row r="46" customFormat="false" ht="35.05" hidden="false" customHeight="false" outlineLevel="0" collapsed="false">
      <c r="A46" s="28" t="s">
        <v>336</v>
      </c>
      <c r="B46" s="28" t="s">
        <v>460</v>
      </c>
      <c r="C46" s="28" t="s">
        <v>461</v>
      </c>
      <c r="D46" s="28" t="s">
        <v>123</v>
      </c>
      <c r="E46" s="28" t="n">
        <v>8.5</v>
      </c>
      <c r="F46" s="28"/>
      <c r="G46" s="28"/>
      <c r="H46" s="28" t="s">
        <v>446</v>
      </c>
      <c r="I46" s="2"/>
      <c r="J46" s="2"/>
      <c r="K46" s="2"/>
    </row>
    <row r="47" customFormat="false" ht="46.25" hidden="false" customHeight="false" outlineLevel="0" collapsed="false">
      <c r="A47" s="28" t="s">
        <v>340</v>
      </c>
      <c r="B47" s="28" t="s">
        <v>462</v>
      </c>
      <c r="C47" s="28" t="s">
        <v>463</v>
      </c>
      <c r="D47" s="28" t="s">
        <v>123</v>
      </c>
      <c r="E47" s="28" t="n">
        <v>8.5</v>
      </c>
      <c r="F47" s="28"/>
      <c r="G47" s="28"/>
      <c r="H47" s="28" t="s">
        <v>446</v>
      </c>
      <c r="I47" s="2"/>
      <c r="J47" s="2"/>
      <c r="K47" s="2"/>
    </row>
    <row r="48" customFormat="false" ht="35.05" hidden="false" customHeight="false" outlineLevel="0" collapsed="false">
      <c r="A48" s="28" t="s">
        <v>340</v>
      </c>
      <c r="B48" s="28" t="s">
        <v>464</v>
      </c>
      <c r="C48" s="28" t="s">
        <v>465</v>
      </c>
      <c r="D48" s="28" t="s">
        <v>123</v>
      </c>
      <c r="E48" s="28" t="n">
        <v>8.5</v>
      </c>
      <c r="F48" s="28"/>
      <c r="G48" s="28"/>
      <c r="H48" s="28" t="s">
        <v>446</v>
      </c>
      <c r="I48" s="2"/>
      <c r="J48" s="2"/>
      <c r="K48" s="2"/>
    </row>
    <row r="49" customFormat="false" ht="35.05" hidden="false" customHeight="false" outlineLevel="0" collapsed="false">
      <c r="A49" s="28" t="s">
        <v>340</v>
      </c>
      <c r="B49" s="28" t="s">
        <v>466</v>
      </c>
      <c r="C49" s="28" t="s">
        <v>467</v>
      </c>
      <c r="D49" s="28" t="s">
        <v>123</v>
      </c>
      <c r="E49" s="28" t="n">
        <v>8.5</v>
      </c>
      <c r="F49" s="28"/>
      <c r="G49" s="28"/>
      <c r="H49" s="28" t="s">
        <v>446</v>
      </c>
      <c r="I49" s="2"/>
      <c r="J49" s="2"/>
      <c r="K49" s="2"/>
    </row>
    <row r="50" customFormat="false" ht="35.05" hidden="false" customHeight="false" outlineLevel="0" collapsed="false">
      <c r="A50" s="28" t="s">
        <v>340</v>
      </c>
      <c r="B50" s="28" t="s">
        <v>468</v>
      </c>
      <c r="C50" s="28" t="s">
        <v>469</v>
      </c>
      <c r="D50" s="28" t="s">
        <v>123</v>
      </c>
      <c r="E50" s="28" t="n">
        <v>8</v>
      </c>
      <c r="F50" s="28"/>
      <c r="G50" s="28"/>
      <c r="H50" s="28" t="s">
        <v>446</v>
      </c>
      <c r="I50" s="2"/>
      <c r="J50" s="2"/>
      <c r="K50" s="2"/>
    </row>
    <row r="51" customFormat="false" ht="35.05" hidden="false" customHeight="false" outlineLevel="0" collapsed="false">
      <c r="A51" s="28" t="s">
        <v>345</v>
      </c>
      <c r="B51" s="28" t="s">
        <v>470</v>
      </c>
      <c r="C51" s="28" t="s">
        <v>471</v>
      </c>
      <c r="D51" s="28" t="s">
        <v>123</v>
      </c>
      <c r="E51" s="28" t="n">
        <v>8</v>
      </c>
      <c r="F51" s="28"/>
      <c r="G51" s="28"/>
      <c r="H51" s="28" t="s">
        <v>446</v>
      </c>
      <c r="I51" s="2"/>
      <c r="J51" s="2"/>
      <c r="K51" s="2"/>
    </row>
    <row r="52" customFormat="false" ht="46.25" hidden="false" customHeight="false" outlineLevel="0" collapsed="false">
      <c r="A52" s="28" t="s">
        <v>345</v>
      </c>
      <c r="B52" s="28" t="s">
        <v>472</v>
      </c>
      <c r="C52" s="28" t="s">
        <v>473</v>
      </c>
      <c r="D52" s="28" t="s">
        <v>123</v>
      </c>
      <c r="E52" s="28" t="n">
        <v>8.5</v>
      </c>
      <c r="F52" s="28"/>
      <c r="G52" s="28"/>
      <c r="H52" s="28" t="s">
        <v>446</v>
      </c>
      <c r="I52" s="2"/>
      <c r="J52" s="2"/>
      <c r="K52" s="2"/>
    </row>
    <row r="53" customFormat="false" ht="35.05" hidden="false" customHeight="false" outlineLevel="0" collapsed="false">
      <c r="A53" s="28" t="s">
        <v>345</v>
      </c>
      <c r="B53" s="28" t="s">
        <v>474</v>
      </c>
      <c r="C53" s="28" t="s">
        <v>475</v>
      </c>
      <c r="D53" s="28" t="s">
        <v>123</v>
      </c>
      <c r="E53" s="28" t="n">
        <v>8</v>
      </c>
      <c r="F53" s="28"/>
      <c r="G53" s="28"/>
      <c r="H53" s="28" t="s">
        <v>446</v>
      </c>
      <c r="I53" s="2"/>
      <c r="J53" s="2"/>
      <c r="K53" s="2"/>
    </row>
    <row r="54" customFormat="false" ht="35.05" hidden="false" customHeight="false" outlineLevel="0" collapsed="false">
      <c r="A54" s="28" t="s">
        <v>349</v>
      </c>
      <c r="B54" s="28" t="s">
        <v>476</v>
      </c>
      <c r="C54" s="28" t="s">
        <v>477</v>
      </c>
      <c r="D54" s="28" t="s">
        <v>123</v>
      </c>
      <c r="E54" s="28" t="n">
        <v>8.5</v>
      </c>
      <c r="F54" s="28"/>
      <c r="G54" s="28"/>
      <c r="H54" s="28" t="s">
        <v>446</v>
      </c>
      <c r="I54" s="2"/>
      <c r="J54" s="2"/>
      <c r="K54" s="2"/>
    </row>
    <row r="55" customFormat="false" ht="35.05" hidden="false" customHeight="false" outlineLevel="0" collapsed="false">
      <c r="A55" s="28" t="s">
        <v>349</v>
      </c>
      <c r="B55" s="28" t="s">
        <v>478</v>
      </c>
      <c r="C55" s="28" t="s">
        <v>479</v>
      </c>
      <c r="D55" s="28" t="s">
        <v>123</v>
      </c>
      <c r="E55" s="28" t="n">
        <v>8</v>
      </c>
      <c r="F55" s="28"/>
      <c r="G55" s="28"/>
      <c r="H55" s="28" t="s">
        <v>446</v>
      </c>
      <c r="I55" s="2"/>
      <c r="J55" s="2"/>
      <c r="K55" s="2"/>
    </row>
    <row r="56" customFormat="false" ht="35.05" hidden="false" customHeight="false" outlineLevel="0" collapsed="false">
      <c r="A56" s="28" t="s">
        <v>349</v>
      </c>
      <c r="B56" s="28" t="s">
        <v>480</v>
      </c>
      <c r="C56" s="28" t="s">
        <v>481</v>
      </c>
      <c r="D56" s="28" t="s">
        <v>123</v>
      </c>
      <c r="E56" s="28" t="n">
        <v>8.5</v>
      </c>
      <c r="F56" s="28"/>
      <c r="G56" s="28"/>
      <c r="H56" s="28" t="s">
        <v>446</v>
      </c>
      <c r="I56" s="2"/>
      <c r="J56" s="2"/>
      <c r="K56" s="2"/>
    </row>
    <row r="57" customFormat="false" ht="35.05" hidden="false" customHeight="false" outlineLevel="0" collapsed="false">
      <c r="A57" s="28" t="s">
        <v>353</v>
      </c>
      <c r="B57" s="28" t="s">
        <v>482</v>
      </c>
      <c r="C57" s="28" t="s">
        <v>483</v>
      </c>
      <c r="D57" s="28" t="s">
        <v>123</v>
      </c>
      <c r="E57" s="28" t="n">
        <v>8.5</v>
      </c>
      <c r="F57" s="28"/>
      <c r="G57" s="28"/>
      <c r="H57" s="28" t="s">
        <v>446</v>
      </c>
      <c r="I57" s="2"/>
      <c r="J57" s="2"/>
      <c r="K57" s="2"/>
    </row>
    <row r="58" customFormat="false" ht="35.05" hidden="false" customHeight="false" outlineLevel="0" collapsed="false">
      <c r="A58" s="28" t="s">
        <v>353</v>
      </c>
      <c r="B58" s="28" t="s">
        <v>484</v>
      </c>
      <c r="C58" s="28" t="s">
        <v>485</v>
      </c>
      <c r="D58" s="28" t="s">
        <v>123</v>
      </c>
      <c r="E58" s="28" t="n">
        <v>8.5</v>
      </c>
      <c r="F58" s="28"/>
      <c r="G58" s="28"/>
      <c r="H58" s="28" t="s">
        <v>446</v>
      </c>
      <c r="I58" s="2"/>
      <c r="J58" s="2"/>
      <c r="K58" s="2"/>
    </row>
    <row r="59" customFormat="false" ht="35.05" hidden="false" customHeight="false" outlineLevel="0" collapsed="false">
      <c r="A59" s="28" t="s">
        <v>353</v>
      </c>
      <c r="B59" s="28" t="s">
        <v>486</v>
      </c>
      <c r="C59" s="28" t="s">
        <v>487</v>
      </c>
      <c r="D59" s="28" t="s">
        <v>123</v>
      </c>
      <c r="E59" s="28" t="n">
        <v>8.5</v>
      </c>
      <c r="F59" s="28"/>
      <c r="G59" s="28"/>
      <c r="H59" s="28" t="s">
        <v>446</v>
      </c>
      <c r="I59" s="2"/>
      <c r="J59" s="2"/>
      <c r="K59" s="2"/>
    </row>
    <row r="60" customFormat="false" ht="46.25" hidden="false" customHeight="false" outlineLevel="0" collapsed="false">
      <c r="A60" s="28" t="s">
        <v>309</v>
      </c>
      <c r="B60" s="28" t="s">
        <v>488</v>
      </c>
      <c r="C60" s="28" t="s">
        <v>489</v>
      </c>
      <c r="D60" s="28" t="s">
        <v>123</v>
      </c>
      <c r="E60" s="28" t="n">
        <v>8.5</v>
      </c>
      <c r="F60" s="28"/>
      <c r="G60" s="28"/>
      <c r="H60" s="28" t="s">
        <v>490</v>
      </c>
      <c r="I60" s="2"/>
      <c r="J60" s="2"/>
      <c r="K60" s="2"/>
    </row>
    <row r="61" customFormat="false" ht="35.05" hidden="false" customHeight="false" outlineLevel="0" collapsed="false">
      <c r="A61" s="28" t="s">
        <v>260</v>
      </c>
      <c r="B61" s="28" t="s">
        <v>491</v>
      </c>
      <c r="C61" s="28" t="s">
        <v>492</v>
      </c>
      <c r="D61" s="28" t="s">
        <v>123</v>
      </c>
      <c r="E61" s="28" t="n">
        <v>8.5</v>
      </c>
      <c r="F61" s="28"/>
      <c r="G61" s="28"/>
      <c r="H61" s="28" t="s">
        <v>490</v>
      </c>
      <c r="I61" s="2"/>
      <c r="J61" s="2"/>
      <c r="K61" s="2"/>
    </row>
    <row r="62" customFormat="false" ht="46.25" hidden="false" customHeight="false" outlineLevel="0" collapsed="false">
      <c r="A62" s="28" t="s">
        <v>294</v>
      </c>
      <c r="B62" s="28" t="s">
        <v>493</v>
      </c>
      <c r="C62" s="28" t="s">
        <v>494</v>
      </c>
      <c r="D62" s="28" t="s">
        <v>123</v>
      </c>
      <c r="E62" s="28" t="n">
        <v>8.5</v>
      </c>
      <c r="F62" s="28"/>
      <c r="G62" s="28"/>
      <c r="H62" s="28" t="s">
        <v>490</v>
      </c>
      <c r="I62" s="2"/>
      <c r="J62" s="2"/>
      <c r="K62" s="2"/>
    </row>
    <row r="63" customFormat="false" ht="57.45" hidden="false" customHeight="false" outlineLevel="0" collapsed="false">
      <c r="A63" s="28" t="s">
        <v>249</v>
      </c>
      <c r="B63" s="28" t="s">
        <v>495</v>
      </c>
      <c r="C63" s="28" t="s">
        <v>496</v>
      </c>
      <c r="D63" s="28" t="s">
        <v>123</v>
      </c>
      <c r="E63" s="28" t="n">
        <v>8.5</v>
      </c>
      <c r="F63" s="28"/>
      <c r="G63" s="28"/>
      <c r="H63" s="28" t="s">
        <v>497</v>
      </c>
      <c r="I63" s="2"/>
      <c r="J63" s="2"/>
      <c r="K63" s="2"/>
    </row>
    <row r="64" customFormat="false" ht="57.45" hidden="false" customHeight="false" outlineLevel="0" collapsed="false">
      <c r="A64" s="28" t="s">
        <v>249</v>
      </c>
      <c r="B64" s="28" t="s">
        <v>498</v>
      </c>
      <c r="C64" s="28" t="s">
        <v>499</v>
      </c>
      <c r="D64" s="28" t="s">
        <v>123</v>
      </c>
      <c r="E64" s="28" t="n">
        <v>8.5</v>
      </c>
      <c r="F64" s="28"/>
      <c r="G64" s="28"/>
      <c r="H64" s="28" t="s">
        <v>497</v>
      </c>
      <c r="I64" s="2"/>
      <c r="J64" s="2"/>
      <c r="K64" s="2"/>
    </row>
    <row r="65" customFormat="false" ht="79.85" hidden="false" customHeight="false" outlineLevel="0" collapsed="false">
      <c r="A65" s="28" t="s">
        <v>249</v>
      </c>
      <c r="B65" s="28" t="s">
        <v>500</v>
      </c>
      <c r="C65" s="28" t="s">
        <v>501</v>
      </c>
      <c r="D65" s="28" t="s">
        <v>123</v>
      </c>
      <c r="E65" s="28" t="n">
        <v>8.5</v>
      </c>
      <c r="F65" s="28"/>
      <c r="G65" s="28"/>
      <c r="H65" s="28" t="s">
        <v>497</v>
      </c>
      <c r="I65" s="2"/>
      <c r="J65" s="2"/>
      <c r="K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F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8" t="s">
        <v>502</v>
      </c>
      <c r="B1" s="18" t="s">
        <v>503</v>
      </c>
      <c r="C1" s="18" t="s">
        <v>504</v>
      </c>
      <c r="D1" s="2"/>
      <c r="E1" s="2"/>
      <c r="F1" s="2"/>
    </row>
    <row r="2" customFormat="false" ht="35.05" hidden="false" customHeight="false" outlineLevel="0" collapsed="false">
      <c r="A2" s="19" t="s">
        <v>505</v>
      </c>
      <c r="B2" s="19" t="s">
        <v>506</v>
      </c>
      <c r="C2" s="19" t="s">
        <v>507</v>
      </c>
      <c r="D2" s="2"/>
      <c r="E2" s="2"/>
      <c r="F2" s="2"/>
    </row>
    <row r="3" customFormat="false" ht="35.05" hidden="false" customHeight="false" outlineLevel="0" collapsed="false">
      <c r="A3" s="19" t="s">
        <v>505</v>
      </c>
      <c r="B3" s="19" t="s">
        <v>508</v>
      </c>
      <c r="C3" s="19" t="s">
        <v>509</v>
      </c>
      <c r="D3" s="2"/>
      <c r="E3" s="2"/>
      <c r="F3" s="2"/>
    </row>
    <row r="4" customFormat="false" ht="35.05" hidden="false" customHeight="false" outlineLevel="0" collapsed="false">
      <c r="A4" s="19" t="s">
        <v>505</v>
      </c>
      <c r="B4" s="19" t="s">
        <v>510</v>
      </c>
      <c r="C4" s="19" t="s">
        <v>511</v>
      </c>
      <c r="D4" s="2"/>
      <c r="E4" s="2"/>
      <c r="F4" s="2"/>
    </row>
    <row r="5" customFormat="false" ht="46.25" hidden="false" customHeight="false" outlineLevel="0" collapsed="false">
      <c r="A5" s="19" t="s">
        <v>505</v>
      </c>
      <c r="B5" s="19" t="s">
        <v>512</v>
      </c>
      <c r="C5" s="19" t="s">
        <v>513</v>
      </c>
      <c r="D5" s="2"/>
      <c r="E5" s="2"/>
      <c r="F5" s="2"/>
    </row>
    <row r="6" customFormat="false" ht="35.05" hidden="false" customHeight="false" outlineLevel="0" collapsed="false">
      <c r="A6" s="19" t="s">
        <v>505</v>
      </c>
      <c r="B6" s="19" t="s">
        <v>514</v>
      </c>
      <c r="C6" s="19" t="s">
        <v>515</v>
      </c>
      <c r="D6" s="2"/>
      <c r="E6" s="2"/>
      <c r="F6" s="2"/>
    </row>
    <row r="7" customFormat="false" ht="35.05" hidden="false" customHeight="false" outlineLevel="0" collapsed="false">
      <c r="A7" s="19" t="s">
        <v>505</v>
      </c>
      <c r="B7" s="19" t="s">
        <v>516</v>
      </c>
      <c r="C7" s="19" t="s">
        <v>517</v>
      </c>
      <c r="D7" s="2"/>
      <c r="E7" s="2"/>
      <c r="F7" s="2"/>
    </row>
    <row r="8" customFormat="false" ht="23.85" hidden="false" customHeight="false" outlineLevel="0" collapsed="false">
      <c r="A8" s="19" t="s">
        <v>505</v>
      </c>
      <c r="B8" s="19" t="s">
        <v>518</v>
      </c>
      <c r="C8" s="19" t="s">
        <v>519</v>
      </c>
      <c r="D8" s="2"/>
      <c r="E8" s="2"/>
      <c r="F8" s="2"/>
    </row>
    <row r="9" customFormat="false" ht="35.05" hidden="false" customHeight="false" outlineLevel="0" collapsed="false">
      <c r="A9" s="19" t="s">
        <v>505</v>
      </c>
      <c r="B9" s="19" t="s">
        <v>520</v>
      </c>
      <c r="C9" s="19" t="s">
        <v>521</v>
      </c>
      <c r="D9" s="2"/>
      <c r="E9" s="2"/>
      <c r="F9" s="2"/>
    </row>
    <row r="10" customFormat="false" ht="46.25" hidden="false" customHeight="false" outlineLevel="0" collapsed="false">
      <c r="A10" s="19" t="s">
        <v>505</v>
      </c>
      <c r="B10" s="19" t="s">
        <v>522</v>
      </c>
      <c r="C10" s="19" t="s">
        <v>523</v>
      </c>
      <c r="D10" s="2"/>
      <c r="E10" s="2"/>
      <c r="F10" s="2"/>
    </row>
    <row r="11" customFormat="false" ht="35.05" hidden="false" customHeight="false" outlineLevel="0" collapsed="false">
      <c r="A11" s="19" t="s">
        <v>505</v>
      </c>
      <c r="B11" s="19" t="s">
        <v>524</v>
      </c>
      <c r="C11" s="19" t="s">
        <v>525</v>
      </c>
      <c r="D11" s="2"/>
      <c r="E11" s="2"/>
      <c r="F11" s="2"/>
    </row>
    <row r="12" customFormat="false" ht="35.05" hidden="false" customHeight="false" outlineLevel="0" collapsed="false">
      <c r="A12" s="19" t="s">
        <v>505</v>
      </c>
      <c r="B12" s="19" t="s">
        <v>526</v>
      </c>
      <c r="C12" s="19" t="s">
        <v>527</v>
      </c>
      <c r="D12" s="2"/>
      <c r="E12" s="2"/>
      <c r="F12" s="2"/>
    </row>
    <row r="13" customFormat="false" ht="35.05" hidden="false" customHeight="false" outlineLevel="0" collapsed="false">
      <c r="A13" s="19" t="s">
        <v>505</v>
      </c>
      <c r="B13" s="19" t="s">
        <v>528</v>
      </c>
      <c r="C13" s="19" t="s">
        <v>529</v>
      </c>
      <c r="D13" s="2"/>
      <c r="E13" s="2"/>
      <c r="F13" s="2"/>
    </row>
    <row r="14" customFormat="false" ht="23.85" hidden="false" customHeight="false" outlineLevel="0" collapsed="false">
      <c r="A14" s="19" t="s">
        <v>505</v>
      </c>
      <c r="B14" s="19" t="s">
        <v>530</v>
      </c>
      <c r="C14" s="19" t="s">
        <v>531</v>
      </c>
      <c r="D14" s="2"/>
      <c r="E14" s="2"/>
      <c r="F14" s="2"/>
    </row>
    <row r="15" customFormat="false" ht="23.85" hidden="false" customHeight="false" outlineLevel="0" collapsed="false">
      <c r="A15" s="19" t="s">
        <v>505</v>
      </c>
      <c r="B15" s="19" t="s">
        <v>532</v>
      </c>
      <c r="C15" s="19" t="s">
        <v>533</v>
      </c>
      <c r="D15" s="2"/>
      <c r="E15" s="2"/>
      <c r="F15" s="2"/>
    </row>
    <row r="16" customFormat="false" ht="23.85" hidden="false" customHeight="false" outlineLevel="0" collapsed="false">
      <c r="A16" s="19" t="s">
        <v>505</v>
      </c>
      <c r="B16" s="19" t="s">
        <v>534</v>
      </c>
      <c r="C16" s="19" t="s">
        <v>535</v>
      </c>
      <c r="D16" s="2"/>
      <c r="E16" s="2"/>
      <c r="F16" s="2"/>
    </row>
    <row r="17" customFormat="false" ht="46.25" hidden="false" customHeight="false" outlineLevel="0" collapsed="false">
      <c r="A17" s="19" t="s">
        <v>505</v>
      </c>
      <c r="B17" s="19" t="s">
        <v>536</v>
      </c>
      <c r="C17" s="19" t="s">
        <v>537</v>
      </c>
      <c r="D17" s="2"/>
      <c r="E17" s="2"/>
      <c r="F17" s="2"/>
    </row>
    <row r="18" customFormat="false" ht="35.05" hidden="false" customHeight="false" outlineLevel="0" collapsed="false">
      <c r="A18" s="19" t="s">
        <v>505</v>
      </c>
      <c r="B18" s="19" t="s">
        <v>538</v>
      </c>
      <c r="C18" s="19" t="s">
        <v>539</v>
      </c>
      <c r="D18" s="2"/>
      <c r="E18" s="2"/>
      <c r="F18" s="2"/>
    </row>
    <row r="19" customFormat="false" ht="23.85" hidden="false" customHeight="false" outlineLevel="0" collapsed="false">
      <c r="A19" s="19" t="s">
        <v>505</v>
      </c>
      <c r="B19" s="19" t="s">
        <v>540</v>
      </c>
      <c r="C19" s="19" t="s">
        <v>541</v>
      </c>
      <c r="D19" s="2"/>
      <c r="E19" s="2"/>
      <c r="F19" s="2"/>
    </row>
    <row r="20" customFormat="false" ht="35.05" hidden="false" customHeight="false" outlineLevel="0" collapsed="false">
      <c r="A20" s="19" t="s">
        <v>505</v>
      </c>
      <c r="B20" s="19" t="s">
        <v>542</v>
      </c>
      <c r="C20" s="19" t="s">
        <v>543</v>
      </c>
      <c r="D20" s="2"/>
      <c r="E20" s="2"/>
      <c r="F20" s="2"/>
    </row>
    <row r="21" customFormat="false" ht="23.85" hidden="false" customHeight="false" outlineLevel="0" collapsed="false">
      <c r="A21" s="19" t="s">
        <v>505</v>
      </c>
      <c r="B21" s="19" t="s">
        <v>544</v>
      </c>
      <c r="C21" s="19" t="s">
        <v>545</v>
      </c>
      <c r="D21" s="2"/>
      <c r="E21" s="2"/>
      <c r="F21" s="2"/>
    </row>
    <row r="22" customFormat="false" ht="35.05" hidden="false" customHeight="false" outlineLevel="0" collapsed="false">
      <c r="A22" s="19" t="s">
        <v>505</v>
      </c>
      <c r="B22" s="19" t="s">
        <v>546</v>
      </c>
      <c r="C22" s="19" t="s">
        <v>547</v>
      </c>
      <c r="D22" s="2"/>
      <c r="E22" s="2"/>
      <c r="F22" s="2"/>
    </row>
    <row r="23" customFormat="false" ht="35.05" hidden="false" customHeight="false" outlineLevel="0" collapsed="false">
      <c r="A23" s="19" t="s">
        <v>505</v>
      </c>
      <c r="B23" s="19" t="s">
        <v>548</v>
      </c>
      <c r="C23" s="19" t="s">
        <v>549</v>
      </c>
      <c r="D23" s="2"/>
      <c r="E23" s="2"/>
      <c r="F23" s="2"/>
    </row>
    <row r="24" customFormat="false" ht="23.85" hidden="false" customHeight="false" outlineLevel="0" collapsed="false">
      <c r="A24" s="19" t="s">
        <v>505</v>
      </c>
      <c r="B24" s="19" t="s">
        <v>550</v>
      </c>
      <c r="C24" s="19" t="s">
        <v>551</v>
      </c>
      <c r="D24" s="2"/>
      <c r="E24" s="2"/>
      <c r="F24" s="2"/>
    </row>
    <row r="25" customFormat="false" ht="35.05" hidden="false" customHeight="false" outlineLevel="0" collapsed="false">
      <c r="A25" s="19" t="s">
        <v>505</v>
      </c>
      <c r="B25" s="19" t="s">
        <v>552</v>
      </c>
      <c r="C25" s="19" t="s">
        <v>553</v>
      </c>
      <c r="D25" s="2"/>
      <c r="E25" s="2"/>
      <c r="F25" s="2"/>
    </row>
    <row r="26" customFormat="false" ht="23.85" hidden="false" customHeight="false" outlineLevel="0" collapsed="false">
      <c r="A26" s="19" t="s">
        <v>505</v>
      </c>
      <c r="B26" s="19" t="s">
        <v>554</v>
      </c>
      <c r="C26" s="19" t="s">
        <v>555</v>
      </c>
      <c r="D26" s="2"/>
      <c r="E26" s="2"/>
      <c r="F26" s="2"/>
    </row>
    <row r="27" customFormat="false" ht="23.85" hidden="false" customHeight="false" outlineLevel="0" collapsed="false">
      <c r="A27" s="19" t="s">
        <v>505</v>
      </c>
      <c r="B27" s="19" t="s">
        <v>556</v>
      </c>
      <c r="C27" s="19" t="s">
        <v>557</v>
      </c>
      <c r="D27" s="2"/>
      <c r="E27" s="2"/>
      <c r="F27" s="2"/>
    </row>
    <row r="28" customFormat="false" ht="35.05" hidden="false" customHeight="false" outlineLevel="0" collapsed="false">
      <c r="A28" s="19" t="s">
        <v>505</v>
      </c>
      <c r="B28" s="19" t="s">
        <v>558</v>
      </c>
      <c r="C28" s="19" t="s">
        <v>559</v>
      </c>
      <c r="D28" s="2"/>
      <c r="E28" s="2"/>
      <c r="F28" s="2"/>
    </row>
    <row r="29" customFormat="false" ht="35.05" hidden="false" customHeight="false" outlineLevel="0" collapsed="false">
      <c r="A29" s="19" t="s">
        <v>505</v>
      </c>
      <c r="B29" s="19" t="s">
        <v>560</v>
      </c>
      <c r="C29" s="19" t="s">
        <v>561</v>
      </c>
      <c r="D29" s="2"/>
      <c r="E29" s="2"/>
      <c r="F29" s="2"/>
    </row>
    <row r="30" customFormat="false" ht="35.05" hidden="false" customHeight="false" outlineLevel="0" collapsed="false">
      <c r="A30" s="19" t="s">
        <v>505</v>
      </c>
      <c r="B30" s="19" t="s">
        <v>562</v>
      </c>
      <c r="C30" s="19" t="s">
        <v>563</v>
      </c>
      <c r="D30" s="2"/>
      <c r="E30" s="2"/>
      <c r="F30" s="2"/>
    </row>
    <row r="31" customFormat="false" ht="35.05" hidden="false" customHeight="false" outlineLevel="0" collapsed="false">
      <c r="A31" s="19" t="s">
        <v>505</v>
      </c>
      <c r="B31" s="19" t="s">
        <v>564</v>
      </c>
      <c r="C31" s="19" t="s">
        <v>565</v>
      </c>
      <c r="D31" s="2"/>
      <c r="E31" s="2"/>
      <c r="F31" s="2"/>
    </row>
    <row r="32" customFormat="false" ht="23.85" hidden="false" customHeight="false" outlineLevel="0" collapsed="false">
      <c r="A32" s="19" t="s">
        <v>505</v>
      </c>
      <c r="B32" s="19" t="s">
        <v>566</v>
      </c>
      <c r="C32" s="19" t="s">
        <v>567</v>
      </c>
      <c r="D32" s="2"/>
      <c r="E32" s="2"/>
      <c r="F32" s="2"/>
    </row>
    <row r="33" customFormat="false" ht="35.05" hidden="false" customHeight="false" outlineLevel="0" collapsed="false">
      <c r="A33" s="19" t="s">
        <v>505</v>
      </c>
      <c r="B33" s="19" t="s">
        <v>568</v>
      </c>
      <c r="C33" s="19" t="s">
        <v>569</v>
      </c>
      <c r="D33" s="2"/>
      <c r="E33" s="2"/>
      <c r="F33" s="2"/>
    </row>
    <row r="34" customFormat="false" ht="35.05" hidden="false" customHeight="false" outlineLevel="0" collapsed="false">
      <c r="A34" s="19" t="s">
        <v>505</v>
      </c>
      <c r="B34" s="19" t="s">
        <v>570</v>
      </c>
      <c r="C34" s="19" t="s">
        <v>571</v>
      </c>
      <c r="D34" s="2"/>
      <c r="E34" s="2"/>
      <c r="F34" s="2"/>
    </row>
    <row r="35" customFormat="false" ht="35.05" hidden="false" customHeight="false" outlineLevel="0" collapsed="false">
      <c r="A35" s="19" t="s">
        <v>505</v>
      </c>
      <c r="B35" s="19" t="s">
        <v>572</v>
      </c>
      <c r="C35" s="19" t="s">
        <v>573</v>
      </c>
      <c r="D35" s="2"/>
      <c r="E35" s="2"/>
      <c r="F35" s="2"/>
    </row>
    <row r="36" customFormat="false" ht="23.85" hidden="false" customHeight="false" outlineLevel="0" collapsed="false">
      <c r="A36" s="19" t="s">
        <v>505</v>
      </c>
      <c r="B36" s="19" t="s">
        <v>574</v>
      </c>
      <c r="C36" s="19" t="s">
        <v>575</v>
      </c>
      <c r="D36" s="2"/>
      <c r="E36" s="2"/>
      <c r="F36" s="2"/>
    </row>
    <row r="37" customFormat="false" ht="35.05" hidden="false" customHeight="false" outlineLevel="0" collapsed="false">
      <c r="A37" s="19" t="s">
        <v>505</v>
      </c>
      <c r="B37" s="19" t="s">
        <v>576</v>
      </c>
      <c r="C37" s="19" t="s">
        <v>577</v>
      </c>
      <c r="D37" s="2"/>
      <c r="E37" s="2"/>
      <c r="F37" s="2"/>
    </row>
    <row r="38" customFormat="false" ht="23.85" hidden="false" customHeight="false" outlineLevel="0" collapsed="false">
      <c r="A38" s="19" t="s">
        <v>505</v>
      </c>
      <c r="B38" s="19" t="s">
        <v>578</v>
      </c>
      <c r="C38" s="19" t="s">
        <v>579</v>
      </c>
      <c r="D38" s="2"/>
      <c r="E38" s="2"/>
      <c r="F38" s="2"/>
    </row>
    <row r="39" customFormat="false" ht="35.05" hidden="false" customHeight="false" outlineLevel="0" collapsed="false">
      <c r="A39" s="19" t="s">
        <v>505</v>
      </c>
      <c r="B39" s="19" t="s">
        <v>580</v>
      </c>
      <c r="C39" s="19" t="s">
        <v>581</v>
      </c>
      <c r="D39" s="2"/>
      <c r="E39" s="2"/>
      <c r="F39" s="2"/>
    </row>
    <row r="40" customFormat="false" ht="23.85" hidden="false" customHeight="false" outlineLevel="0" collapsed="false">
      <c r="A40" s="19" t="s">
        <v>505</v>
      </c>
      <c r="B40" s="19" t="s">
        <v>582</v>
      </c>
      <c r="C40" s="19" t="s">
        <v>583</v>
      </c>
      <c r="D40" s="2"/>
      <c r="E40" s="2"/>
      <c r="F40" s="2"/>
    </row>
    <row r="41" customFormat="false" ht="35.05" hidden="false" customHeight="false" outlineLevel="0" collapsed="false">
      <c r="A41" s="19" t="s">
        <v>505</v>
      </c>
      <c r="B41" s="19" t="s">
        <v>584</v>
      </c>
      <c r="C41" s="19" t="s">
        <v>585</v>
      </c>
      <c r="D41" s="2"/>
      <c r="E41" s="2"/>
      <c r="F41" s="2"/>
    </row>
    <row r="42" customFormat="false" ht="23.85" hidden="false" customHeight="false" outlineLevel="0" collapsed="false">
      <c r="A42" s="19" t="s">
        <v>505</v>
      </c>
      <c r="B42" s="19" t="s">
        <v>586</v>
      </c>
      <c r="C42" s="19" t="s">
        <v>587</v>
      </c>
      <c r="D42" s="2"/>
      <c r="E42" s="2"/>
      <c r="F42" s="2"/>
    </row>
    <row r="43" customFormat="false" ht="23.85" hidden="false" customHeight="false" outlineLevel="0" collapsed="false">
      <c r="A43" s="19" t="s">
        <v>505</v>
      </c>
      <c r="B43" s="19" t="s">
        <v>588</v>
      </c>
      <c r="C43" s="19" t="s">
        <v>589</v>
      </c>
      <c r="D43" s="2"/>
      <c r="E43" s="2"/>
      <c r="F43" s="2"/>
    </row>
    <row r="44" customFormat="false" ht="23.85" hidden="false" customHeight="false" outlineLevel="0" collapsed="false">
      <c r="A44" s="19" t="s">
        <v>505</v>
      </c>
      <c r="B44" s="19" t="s">
        <v>590</v>
      </c>
      <c r="C44" s="19" t="s">
        <v>591</v>
      </c>
      <c r="D44" s="2"/>
      <c r="E44" s="2"/>
      <c r="F44" s="2"/>
    </row>
    <row r="45" customFormat="false" ht="15" hidden="false" customHeight="false" outlineLevel="0" collapsed="false">
      <c r="A45" s="19" t="s">
        <v>505</v>
      </c>
      <c r="B45" s="19" t="s">
        <v>592</v>
      </c>
      <c r="C45" s="19" t="s">
        <v>593</v>
      </c>
      <c r="D45" s="2"/>
      <c r="E45" s="2"/>
      <c r="F45" s="2"/>
    </row>
    <row r="46" customFormat="false" ht="15" hidden="false" customHeight="false" outlineLevel="0" collapsed="false">
      <c r="A46" s="19" t="s">
        <v>505</v>
      </c>
      <c r="B46" s="19" t="s">
        <v>594</v>
      </c>
      <c r="C46" s="19" t="s">
        <v>595</v>
      </c>
      <c r="D46" s="2"/>
      <c r="E46" s="2"/>
      <c r="F46" s="2"/>
    </row>
    <row r="47" customFormat="false" ht="23.85" hidden="false" customHeight="false" outlineLevel="0" collapsed="false">
      <c r="A47" s="19" t="s">
        <v>505</v>
      </c>
      <c r="B47" s="19" t="s">
        <v>596</v>
      </c>
      <c r="C47" s="19" t="s">
        <v>597</v>
      </c>
      <c r="D47" s="2"/>
      <c r="E47" s="2"/>
      <c r="F47" s="2"/>
    </row>
    <row r="48" customFormat="false" ht="15" hidden="false" customHeight="false" outlineLevel="0" collapsed="false">
      <c r="A48" s="19" t="s">
        <v>505</v>
      </c>
      <c r="B48" s="19" t="s">
        <v>598</v>
      </c>
      <c r="C48" s="19" t="s">
        <v>599</v>
      </c>
      <c r="D48" s="2"/>
      <c r="E48" s="2"/>
      <c r="F48" s="2"/>
    </row>
    <row r="49" customFormat="false" ht="15" hidden="false" customHeight="false" outlineLevel="0" collapsed="false">
      <c r="A49" s="19" t="s">
        <v>505</v>
      </c>
      <c r="B49" s="19" t="s">
        <v>398</v>
      </c>
      <c r="C49" s="19" t="s">
        <v>600</v>
      </c>
      <c r="D49" s="2"/>
      <c r="E49" s="2"/>
      <c r="F49" s="2"/>
    </row>
    <row r="50" customFormat="false" ht="15" hidden="false" customHeight="false" outlineLevel="0" collapsed="false">
      <c r="A50" s="19" t="s">
        <v>505</v>
      </c>
      <c r="B50" s="19" t="s">
        <v>601</v>
      </c>
      <c r="C50" s="19" t="s">
        <v>602</v>
      </c>
      <c r="D50" s="2"/>
      <c r="E50" s="2"/>
      <c r="F50" s="2"/>
    </row>
    <row r="51" customFormat="false" ht="15" hidden="false" customHeight="false" outlineLevel="0" collapsed="false">
      <c r="A51" s="19" t="s">
        <v>505</v>
      </c>
      <c r="B51" s="19" t="s">
        <v>603</v>
      </c>
      <c r="C51" s="19" t="s">
        <v>604</v>
      </c>
      <c r="D51" s="2"/>
      <c r="E51" s="2"/>
      <c r="F51" s="2"/>
    </row>
    <row r="52" customFormat="false" ht="15" hidden="false" customHeight="false" outlineLevel="0" collapsed="false">
      <c r="A52" s="19" t="s">
        <v>505</v>
      </c>
      <c r="B52" s="19" t="s">
        <v>605</v>
      </c>
      <c r="C52" s="19" t="s">
        <v>606</v>
      </c>
      <c r="D52" s="2"/>
      <c r="E52" s="2"/>
      <c r="F52" s="2"/>
    </row>
    <row r="53" customFormat="false" ht="15" hidden="false" customHeight="false" outlineLevel="0" collapsed="false">
      <c r="A53" s="19" t="s">
        <v>505</v>
      </c>
      <c r="B53" s="19" t="s">
        <v>215</v>
      </c>
      <c r="C53" s="19" t="s">
        <v>607</v>
      </c>
      <c r="D53" s="2"/>
      <c r="E53" s="2"/>
      <c r="F53" s="2"/>
    </row>
    <row r="54" customFormat="false" ht="15" hidden="false" customHeight="false" outlineLevel="0" collapsed="false">
      <c r="A54" s="19" t="s">
        <v>505</v>
      </c>
      <c r="B54" s="19" t="s">
        <v>608</v>
      </c>
      <c r="C54" s="19" t="s">
        <v>609</v>
      </c>
      <c r="D54" s="2"/>
      <c r="E54" s="2"/>
      <c r="F54" s="2"/>
    </row>
    <row r="55" customFormat="false" ht="15" hidden="false" customHeight="false" outlineLevel="0" collapsed="false">
      <c r="A55" s="19" t="s">
        <v>505</v>
      </c>
      <c r="B55" s="19" t="s">
        <v>610</v>
      </c>
      <c r="C55" s="19" t="s">
        <v>611</v>
      </c>
      <c r="D55" s="2"/>
      <c r="E55" s="2"/>
      <c r="F55" s="2"/>
    </row>
    <row r="56" customFormat="false" ht="15" hidden="false" customHeight="false" outlineLevel="0" collapsed="false">
      <c r="A56" s="19" t="s">
        <v>505</v>
      </c>
      <c r="B56" s="19" t="s">
        <v>197</v>
      </c>
      <c r="C56" s="19" t="s">
        <v>612</v>
      </c>
      <c r="D56" s="2"/>
      <c r="E56" s="2"/>
      <c r="F56" s="2"/>
    </row>
    <row r="57" customFormat="false" ht="15" hidden="false" customHeight="false" outlineLevel="0" collapsed="false">
      <c r="A57" s="19" t="s">
        <v>505</v>
      </c>
      <c r="B57" s="19" t="s">
        <v>613</v>
      </c>
      <c r="C57" s="19" t="s">
        <v>614</v>
      </c>
      <c r="D57" s="2"/>
      <c r="E57" s="2"/>
      <c r="F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8" t="s">
        <v>91</v>
      </c>
      <c r="B1" s="18" t="s">
        <v>615</v>
      </c>
      <c r="C1" s="18" t="s">
        <v>616</v>
      </c>
      <c r="D1" s="18" t="s">
        <v>617</v>
      </c>
      <c r="E1" s="18" t="s">
        <v>248</v>
      </c>
      <c r="F1" s="2"/>
      <c r="G1" s="2"/>
      <c r="H1" s="2"/>
    </row>
    <row r="2" customFormat="false" ht="35.05" hidden="false" customHeight="false" outlineLevel="0" collapsed="false">
      <c r="A2" s="19" t="s">
        <v>618</v>
      </c>
      <c r="B2" s="19" t="s">
        <v>619</v>
      </c>
      <c r="C2" s="19" t="s">
        <v>620</v>
      </c>
      <c r="D2" s="19" t="s">
        <v>621</v>
      </c>
      <c r="E2" s="19" t="s">
        <v>622</v>
      </c>
      <c r="F2" s="2"/>
      <c r="G2" s="2"/>
      <c r="H2" s="2"/>
    </row>
    <row r="3" customFormat="false" ht="23.85" hidden="false" customHeight="false" outlineLevel="0" collapsed="false">
      <c r="A3" s="19" t="s">
        <v>623</v>
      </c>
      <c r="B3" s="19" t="s">
        <v>624</v>
      </c>
      <c r="C3" s="19" t="s">
        <v>625</v>
      </c>
      <c r="D3" s="19" t="s">
        <v>626</v>
      </c>
      <c r="E3" s="19" t="s">
        <v>627</v>
      </c>
      <c r="F3" s="2"/>
      <c r="G3" s="2"/>
      <c r="H3" s="2"/>
    </row>
    <row r="4" customFormat="false" ht="23.85" hidden="false" customHeight="false" outlineLevel="0" collapsed="false">
      <c r="A4" s="19" t="s">
        <v>628</v>
      </c>
      <c r="B4" s="19" t="s">
        <v>629</v>
      </c>
      <c r="C4" s="19" t="s">
        <v>630</v>
      </c>
      <c r="D4" s="19" t="s">
        <v>631</v>
      </c>
      <c r="E4" s="19" t="s">
        <v>632</v>
      </c>
      <c r="F4" s="2"/>
      <c r="G4" s="2"/>
      <c r="H4" s="2"/>
    </row>
    <row r="5" customFormat="false" ht="23.85" hidden="false" customHeight="false" outlineLevel="0" collapsed="false">
      <c r="A5" s="19" t="s">
        <v>633</v>
      </c>
      <c r="B5" s="19" t="s">
        <v>634</v>
      </c>
      <c r="C5" s="19" t="s">
        <v>635</v>
      </c>
      <c r="D5" s="19" t="s">
        <v>636</v>
      </c>
      <c r="E5" s="19" t="s">
        <v>637</v>
      </c>
      <c r="F5" s="2"/>
      <c r="G5" s="2"/>
      <c r="H5" s="2"/>
    </row>
    <row r="6" customFormat="false" ht="23.85" hidden="false" customHeight="false" outlineLevel="0" collapsed="false">
      <c r="A6" s="19" t="s">
        <v>638</v>
      </c>
      <c r="B6" s="19" t="s">
        <v>639</v>
      </c>
      <c r="C6" s="19" t="s">
        <v>640</v>
      </c>
      <c r="D6" s="19" t="s">
        <v>641</v>
      </c>
      <c r="E6" s="19" t="s">
        <v>642</v>
      </c>
      <c r="F6" s="2"/>
      <c r="G6" s="2"/>
      <c r="H6" s="2"/>
    </row>
    <row r="7" customFormat="false" ht="35.05" hidden="false" customHeight="false" outlineLevel="0" collapsed="false">
      <c r="A7" s="19" t="s">
        <v>643</v>
      </c>
      <c r="B7" s="19" t="s">
        <v>644</v>
      </c>
      <c r="C7" s="19" t="s">
        <v>645</v>
      </c>
      <c r="D7" s="19" t="s">
        <v>646</v>
      </c>
      <c r="E7" s="19" t="s">
        <v>647</v>
      </c>
      <c r="F7" s="2"/>
      <c r="G7" s="2"/>
      <c r="H7" s="2"/>
    </row>
    <row r="8" customFormat="false" ht="35.05" hidden="false" customHeight="false" outlineLevel="0" collapsed="false">
      <c r="A8" s="19" t="s">
        <v>648</v>
      </c>
      <c r="B8" s="19" t="s">
        <v>649</v>
      </c>
      <c r="C8" s="19" t="s">
        <v>650</v>
      </c>
      <c r="D8" s="19" t="s">
        <v>651</v>
      </c>
      <c r="E8" s="19" t="s">
        <v>652</v>
      </c>
      <c r="F8" s="2"/>
      <c r="G8" s="2"/>
      <c r="H8" s="2"/>
    </row>
    <row r="9" customFormat="false" ht="46.25" hidden="false" customHeight="false" outlineLevel="0" collapsed="false">
      <c r="A9" s="19" t="s">
        <v>653</v>
      </c>
      <c r="B9" s="19" t="s">
        <v>654</v>
      </c>
      <c r="C9" s="19" t="s">
        <v>655</v>
      </c>
      <c r="D9" s="19" t="s">
        <v>656</v>
      </c>
      <c r="E9" s="19" t="s">
        <v>657</v>
      </c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H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6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8" t="s">
        <v>91</v>
      </c>
      <c r="B1" s="18" t="s">
        <v>51</v>
      </c>
      <c r="C1" s="18" t="s">
        <v>658</v>
      </c>
      <c r="D1" s="18" t="s">
        <v>659</v>
      </c>
      <c r="E1" s="18" t="s">
        <v>52</v>
      </c>
      <c r="F1" s="2"/>
      <c r="G1" s="2"/>
      <c r="H1" s="2"/>
    </row>
    <row r="2" customFormat="false" ht="23.85" hidden="false" customHeight="false" outlineLevel="0" collapsed="false">
      <c r="A2" s="19" t="s">
        <v>660</v>
      </c>
      <c r="B2" s="19" t="s">
        <v>249</v>
      </c>
      <c r="C2" s="19" t="s">
        <v>661</v>
      </c>
      <c r="D2" s="19" t="s">
        <v>662</v>
      </c>
      <c r="E2" s="20" t="s">
        <v>663</v>
      </c>
      <c r="F2" s="2"/>
      <c r="G2" s="2"/>
      <c r="H2" s="2"/>
    </row>
    <row r="3" customFormat="false" ht="23.85" hidden="false" customHeight="false" outlineLevel="0" collapsed="false">
      <c r="A3" s="19" t="s">
        <v>664</v>
      </c>
      <c r="B3" s="19" t="s">
        <v>249</v>
      </c>
      <c r="C3" s="19" t="s">
        <v>665</v>
      </c>
      <c r="D3" s="19" t="s">
        <v>666</v>
      </c>
      <c r="E3" s="20" t="s">
        <v>663</v>
      </c>
      <c r="F3" s="2"/>
      <c r="G3" s="2"/>
      <c r="H3" s="2"/>
    </row>
    <row r="4" customFormat="false" ht="23.85" hidden="false" customHeight="false" outlineLevel="0" collapsed="false">
      <c r="A4" s="19" t="s">
        <v>667</v>
      </c>
      <c r="B4" s="19" t="s">
        <v>249</v>
      </c>
      <c r="C4" s="19" t="s">
        <v>668</v>
      </c>
      <c r="D4" s="19" t="s">
        <v>669</v>
      </c>
      <c r="E4" s="20" t="s">
        <v>663</v>
      </c>
      <c r="F4" s="2"/>
      <c r="G4" s="2"/>
      <c r="H4" s="2"/>
    </row>
    <row r="5" customFormat="false" ht="23.85" hidden="false" customHeight="false" outlineLevel="0" collapsed="false">
      <c r="A5" s="19" t="s">
        <v>670</v>
      </c>
      <c r="B5" s="19" t="s">
        <v>249</v>
      </c>
      <c r="C5" s="19" t="s">
        <v>671</v>
      </c>
      <c r="D5" s="19" t="s">
        <v>672</v>
      </c>
      <c r="E5" s="20" t="s">
        <v>663</v>
      </c>
      <c r="F5" s="2"/>
      <c r="G5" s="2"/>
      <c r="H5" s="2"/>
    </row>
    <row r="6" customFormat="false" ht="23.85" hidden="false" customHeight="false" outlineLevel="0" collapsed="false">
      <c r="A6" s="19" t="s">
        <v>673</v>
      </c>
      <c r="B6" s="19" t="s">
        <v>249</v>
      </c>
      <c r="C6" s="19" t="s">
        <v>674</v>
      </c>
      <c r="D6" s="19" t="s">
        <v>675</v>
      </c>
      <c r="E6" s="20" t="s">
        <v>663</v>
      </c>
      <c r="F6" s="2"/>
      <c r="G6" s="2"/>
      <c r="H6" s="2"/>
    </row>
    <row r="7" customFormat="false" ht="23.85" hidden="false" customHeight="false" outlineLevel="0" collapsed="false">
      <c r="A7" s="19" t="s">
        <v>676</v>
      </c>
      <c r="B7" s="19" t="s">
        <v>249</v>
      </c>
      <c r="C7" s="19" t="s">
        <v>677</v>
      </c>
      <c r="D7" s="19" t="s">
        <v>678</v>
      </c>
      <c r="E7" s="20" t="s">
        <v>663</v>
      </c>
      <c r="F7" s="2"/>
      <c r="G7" s="2"/>
      <c r="H7" s="2"/>
    </row>
    <row r="8" customFormat="false" ht="15" hidden="false" customHeight="false" outlineLevel="0" collapsed="false">
      <c r="A8" s="19" t="s">
        <v>679</v>
      </c>
      <c r="B8" s="19" t="s">
        <v>249</v>
      </c>
      <c r="C8" s="19" t="s">
        <v>680</v>
      </c>
      <c r="D8" s="19" t="s">
        <v>681</v>
      </c>
      <c r="E8" s="20" t="s">
        <v>663</v>
      </c>
      <c r="F8" s="2"/>
      <c r="G8" s="2"/>
      <c r="H8" s="2"/>
    </row>
    <row r="9" customFormat="false" ht="23.85" hidden="false" customHeight="false" outlineLevel="0" collapsed="false">
      <c r="A9" s="19" t="s">
        <v>682</v>
      </c>
      <c r="B9" s="19" t="s">
        <v>249</v>
      </c>
      <c r="C9" s="19" t="s">
        <v>683</v>
      </c>
      <c r="D9" s="19" t="s">
        <v>684</v>
      </c>
      <c r="E9" s="20" t="s">
        <v>663</v>
      </c>
      <c r="F9" s="2"/>
      <c r="G9" s="2"/>
      <c r="H9" s="2"/>
    </row>
    <row r="10" customFormat="false" ht="23.85" hidden="false" customHeight="false" outlineLevel="0" collapsed="false">
      <c r="A10" s="19" t="s">
        <v>685</v>
      </c>
      <c r="B10" s="19" t="s">
        <v>260</v>
      </c>
      <c r="C10" s="19" t="s">
        <v>686</v>
      </c>
      <c r="D10" s="19" t="s">
        <v>687</v>
      </c>
      <c r="E10" s="20" t="s">
        <v>663</v>
      </c>
      <c r="F10" s="2"/>
      <c r="G10" s="2"/>
      <c r="H10" s="2"/>
    </row>
    <row r="11" customFormat="false" ht="23.85" hidden="false" customHeight="false" outlineLevel="0" collapsed="false">
      <c r="A11" s="19" t="s">
        <v>688</v>
      </c>
      <c r="B11" s="19" t="s">
        <v>260</v>
      </c>
      <c r="C11" s="19" t="s">
        <v>689</v>
      </c>
      <c r="D11" s="19" t="s">
        <v>690</v>
      </c>
      <c r="E11" s="20" t="s">
        <v>663</v>
      </c>
      <c r="F11" s="2"/>
      <c r="G11" s="2"/>
      <c r="H11" s="2"/>
    </row>
    <row r="12" customFormat="false" ht="23.85" hidden="false" customHeight="false" outlineLevel="0" collapsed="false">
      <c r="A12" s="19" t="s">
        <v>691</v>
      </c>
      <c r="B12" s="19" t="s">
        <v>260</v>
      </c>
      <c r="C12" s="19" t="s">
        <v>692</v>
      </c>
      <c r="D12" s="19" t="s">
        <v>693</v>
      </c>
      <c r="E12" s="20" t="s">
        <v>663</v>
      </c>
      <c r="F12" s="2"/>
      <c r="G12" s="2"/>
      <c r="H12" s="2"/>
    </row>
    <row r="13" customFormat="false" ht="23.85" hidden="false" customHeight="false" outlineLevel="0" collapsed="false">
      <c r="A13" s="19" t="s">
        <v>694</v>
      </c>
      <c r="B13" s="19" t="s">
        <v>260</v>
      </c>
      <c r="C13" s="19" t="s">
        <v>695</v>
      </c>
      <c r="D13" s="19" t="s">
        <v>696</v>
      </c>
      <c r="E13" s="20" t="s">
        <v>663</v>
      </c>
      <c r="F13" s="2"/>
      <c r="G13" s="2"/>
      <c r="H13" s="2"/>
    </row>
    <row r="14" customFormat="false" ht="23.85" hidden="false" customHeight="false" outlineLevel="0" collapsed="false">
      <c r="A14" s="19" t="s">
        <v>697</v>
      </c>
      <c r="B14" s="19" t="s">
        <v>260</v>
      </c>
      <c r="C14" s="19" t="s">
        <v>698</v>
      </c>
      <c r="D14" s="19" t="s">
        <v>699</v>
      </c>
      <c r="E14" s="20" t="s">
        <v>663</v>
      </c>
      <c r="F14" s="2"/>
      <c r="G14" s="2"/>
      <c r="H14" s="2"/>
    </row>
    <row r="15" customFormat="false" ht="23.85" hidden="false" customHeight="false" outlineLevel="0" collapsed="false">
      <c r="A15" s="19" t="s">
        <v>700</v>
      </c>
      <c r="B15" s="19" t="s">
        <v>271</v>
      </c>
      <c r="C15" s="19" t="s">
        <v>701</v>
      </c>
      <c r="D15" s="19" t="s">
        <v>702</v>
      </c>
      <c r="E15" s="20" t="s">
        <v>663</v>
      </c>
      <c r="F15" s="2"/>
      <c r="G15" s="2"/>
      <c r="H15" s="2"/>
    </row>
    <row r="16" customFormat="false" ht="23.85" hidden="false" customHeight="false" outlineLevel="0" collapsed="false">
      <c r="A16" s="19" t="s">
        <v>703</v>
      </c>
      <c r="B16" s="19" t="s">
        <v>271</v>
      </c>
      <c r="C16" s="19" t="s">
        <v>704</v>
      </c>
      <c r="D16" s="19" t="s">
        <v>705</v>
      </c>
      <c r="E16" s="20" t="s">
        <v>663</v>
      </c>
      <c r="F16" s="2"/>
      <c r="G16" s="2"/>
      <c r="H16" s="2"/>
    </row>
    <row r="17" customFormat="false" ht="23.85" hidden="false" customHeight="false" outlineLevel="0" collapsed="false">
      <c r="A17" s="19" t="s">
        <v>706</v>
      </c>
      <c r="B17" s="19" t="s">
        <v>271</v>
      </c>
      <c r="C17" s="19" t="s">
        <v>707</v>
      </c>
      <c r="D17" s="19" t="s">
        <v>708</v>
      </c>
      <c r="E17" s="20" t="s">
        <v>663</v>
      </c>
      <c r="F17" s="2"/>
      <c r="G17" s="2"/>
      <c r="H17" s="2"/>
    </row>
    <row r="18" customFormat="false" ht="23.85" hidden="false" customHeight="false" outlineLevel="0" collapsed="false">
      <c r="A18" s="19" t="s">
        <v>709</v>
      </c>
      <c r="B18" s="19" t="s">
        <v>271</v>
      </c>
      <c r="C18" s="19" t="s">
        <v>710</v>
      </c>
      <c r="D18" s="19" t="s">
        <v>711</v>
      </c>
      <c r="E18" s="20" t="s">
        <v>663</v>
      </c>
      <c r="F18" s="2"/>
      <c r="G18" s="2"/>
      <c r="H18" s="2"/>
    </row>
    <row r="19" customFormat="false" ht="23.85" hidden="false" customHeight="false" outlineLevel="0" collapsed="false">
      <c r="A19" s="19" t="s">
        <v>712</v>
      </c>
      <c r="B19" s="19" t="s">
        <v>271</v>
      </c>
      <c r="C19" s="19" t="s">
        <v>713</v>
      </c>
      <c r="D19" s="19" t="s">
        <v>714</v>
      </c>
      <c r="E19" s="20" t="s">
        <v>663</v>
      </c>
      <c r="F19" s="2"/>
      <c r="G19" s="2"/>
      <c r="H19" s="2"/>
    </row>
    <row r="20" customFormat="false" ht="23.85" hidden="false" customHeight="false" outlineLevel="0" collapsed="false">
      <c r="A20" s="19" t="s">
        <v>715</v>
      </c>
      <c r="B20" s="19" t="s">
        <v>294</v>
      </c>
      <c r="C20" s="19" t="s">
        <v>716</v>
      </c>
      <c r="D20" s="19" t="s">
        <v>717</v>
      </c>
      <c r="E20" s="20" t="s">
        <v>663</v>
      </c>
      <c r="F20" s="2"/>
      <c r="G20" s="2"/>
      <c r="H20" s="2"/>
    </row>
    <row r="21" customFormat="false" ht="23.85" hidden="false" customHeight="false" outlineLevel="0" collapsed="false">
      <c r="A21" s="19" t="s">
        <v>718</v>
      </c>
      <c r="B21" s="19" t="s">
        <v>294</v>
      </c>
      <c r="C21" s="19" t="s">
        <v>719</v>
      </c>
      <c r="D21" s="19" t="s">
        <v>720</v>
      </c>
      <c r="E21" s="20" t="s">
        <v>663</v>
      </c>
      <c r="F21" s="2"/>
      <c r="G21" s="2"/>
      <c r="H21" s="2"/>
    </row>
    <row r="22" customFormat="false" ht="23.85" hidden="false" customHeight="false" outlineLevel="0" collapsed="false">
      <c r="A22" s="19" t="s">
        <v>721</v>
      </c>
      <c r="B22" s="19" t="s">
        <v>294</v>
      </c>
      <c r="C22" s="19" t="s">
        <v>722</v>
      </c>
      <c r="D22" s="19" t="s">
        <v>723</v>
      </c>
      <c r="E22" s="20" t="s">
        <v>663</v>
      </c>
      <c r="F22" s="2"/>
      <c r="G22" s="2"/>
      <c r="H22" s="2"/>
    </row>
    <row r="23" customFormat="false" ht="23.85" hidden="false" customHeight="false" outlineLevel="0" collapsed="false">
      <c r="A23" s="19" t="s">
        <v>724</v>
      </c>
      <c r="B23" s="19" t="s">
        <v>294</v>
      </c>
      <c r="C23" s="19" t="s">
        <v>725</v>
      </c>
      <c r="D23" s="19" t="s">
        <v>726</v>
      </c>
      <c r="E23" s="20" t="s">
        <v>663</v>
      </c>
      <c r="F23" s="2"/>
      <c r="G23" s="2"/>
      <c r="H23" s="2"/>
    </row>
    <row r="24" customFormat="false" ht="23.85" hidden="false" customHeight="false" outlineLevel="0" collapsed="false">
      <c r="A24" s="19" t="s">
        <v>727</v>
      </c>
      <c r="B24" s="19" t="s">
        <v>294</v>
      </c>
      <c r="C24" s="19" t="s">
        <v>728</v>
      </c>
      <c r="D24" s="19" t="s">
        <v>729</v>
      </c>
      <c r="E24" s="20" t="s">
        <v>663</v>
      </c>
      <c r="F24" s="2"/>
      <c r="G24" s="2"/>
      <c r="H24" s="2"/>
    </row>
    <row r="25" customFormat="false" ht="15" hidden="false" customHeight="false" outlineLevel="0" collapsed="false">
      <c r="A25" s="19" t="s">
        <v>730</v>
      </c>
      <c r="B25" s="19" t="s">
        <v>294</v>
      </c>
      <c r="C25" s="19" t="s">
        <v>731</v>
      </c>
      <c r="D25" s="19" t="s">
        <v>732</v>
      </c>
      <c r="E25" s="20" t="s">
        <v>733</v>
      </c>
      <c r="F25" s="2"/>
      <c r="G25" s="2"/>
      <c r="H25" s="2"/>
    </row>
    <row r="26" customFormat="false" ht="23.85" hidden="false" customHeight="false" outlineLevel="0" collapsed="false">
      <c r="A26" s="19" t="s">
        <v>734</v>
      </c>
      <c r="B26" s="19" t="s">
        <v>294</v>
      </c>
      <c r="C26" s="19" t="s">
        <v>735</v>
      </c>
      <c r="D26" s="19" t="s">
        <v>736</v>
      </c>
      <c r="E26" s="20" t="s">
        <v>663</v>
      </c>
      <c r="F26" s="2"/>
      <c r="G26" s="2"/>
      <c r="H26" s="2"/>
    </row>
    <row r="27" customFormat="false" ht="23.85" hidden="false" customHeight="false" outlineLevel="0" collapsed="false">
      <c r="A27" s="19" t="s">
        <v>737</v>
      </c>
      <c r="B27" s="19" t="s">
        <v>309</v>
      </c>
      <c r="C27" s="19" t="s">
        <v>738</v>
      </c>
      <c r="D27" s="19" t="s">
        <v>739</v>
      </c>
      <c r="E27" s="20" t="s">
        <v>663</v>
      </c>
      <c r="F27" s="2"/>
      <c r="G27" s="2"/>
      <c r="H27" s="2"/>
    </row>
    <row r="28" customFormat="false" ht="23.85" hidden="false" customHeight="false" outlineLevel="0" collapsed="false">
      <c r="A28" s="19" t="s">
        <v>740</v>
      </c>
      <c r="B28" s="19" t="s">
        <v>309</v>
      </c>
      <c r="C28" s="19" t="s">
        <v>741</v>
      </c>
      <c r="D28" s="19" t="s">
        <v>742</v>
      </c>
      <c r="E28" s="20" t="s">
        <v>663</v>
      </c>
      <c r="F28" s="2"/>
      <c r="G28" s="2"/>
      <c r="H28" s="2"/>
    </row>
    <row r="29" customFormat="false" ht="23.85" hidden="false" customHeight="false" outlineLevel="0" collapsed="false">
      <c r="A29" s="19" t="s">
        <v>743</v>
      </c>
      <c r="B29" s="19" t="s">
        <v>309</v>
      </c>
      <c r="C29" s="19" t="s">
        <v>744</v>
      </c>
      <c r="D29" s="19" t="s">
        <v>745</v>
      </c>
      <c r="E29" s="20" t="s">
        <v>663</v>
      </c>
      <c r="F29" s="2"/>
      <c r="G29" s="2"/>
      <c r="H29" s="2"/>
    </row>
    <row r="30" customFormat="false" ht="23.85" hidden="false" customHeight="false" outlineLevel="0" collapsed="false">
      <c r="A30" s="19" t="s">
        <v>746</v>
      </c>
      <c r="B30" s="19" t="s">
        <v>322</v>
      </c>
      <c r="C30" s="19" t="s">
        <v>747</v>
      </c>
      <c r="D30" s="19" t="s">
        <v>748</v>
      </c>
      <c r="E30" s="20" t="s">
        <v>663</v>
      </c>
      <c r="F30" s="2"/>
      <c r="G30" s="2"/>
      <c r="H30" s="2"/>
    </row>
    <row r="31" customFormat="false" ht="35.05" hidden="false" customHeight="false" outlineLevel="0" collapsed="false">
      <c r="A31" s="19" t="s">
        <v>749</v>
      </c>
      <c r="B31" s="19" t="s">
        <v>322</v>
      </c>
      <c r="C31" s="19" t="s">
        <v>750</v>
      </c>
      <c r="D31" s="19" t="s">
        <v>751</v>
      </c>
      <c r="E31" s="20" t="s">
        <v>663</v>
      </c>
      <c r="F31" s="2"/>
      <c r="G31" s="2"/>
      <c r="H31" s="2"/>
    </row>
    <row r="32" customFormat="false" ht="23.85" hidden="false" customHeight="false" outlineLevel="0" collapsed="false">
      <c r="A32" s="19" t="s">
        <v>752</v>
      </c>
      <c r="B32" s="19" t="s">
        <v>322</v>
      </c>
      <c r="C32" s="19" t="s">
        <v>753</v>
      </c>
      <c r="D32" s="19" t="s">
        <v>754</v>
      </c>
      <c r="E32" s="20" t="s">
        <v>663</v>
      </c>
      <c r="F32" s="2"/>
      <c r="G32" s="2"/>
      <c r="H32" s="2"/>
    </row>
    <row r="33" customFormat="false" ht="23.85" hidden="false" customHeight="false" outlineLevel="0" collapsed="false">
      <c r="A33" s="19" t="s">
        <v>755</v>
      </c>
      <c r="B33" s="19" t="s">
        <v>336</v>
      </c>
      <c r="C33" s="19" t="s">
        <v>756</v>
      </c>
      <c r="D33" s="19" t="s">
        <v>757</v>
      </c>
      <c r="E33" s="20" t="s">
        <v>663</v>
      </c>
      <c r="F33" s="2"/>
      <c r="G33" s="2"/>
      <c r="H33" s="2"/>
    </row>
    <row r="34" customFormat="false" ht="23.85" hidden="false" customHeight="false" outlineLevel="0" collapsed="false">
      <c r="A34" s="19" t="s">
        <v>758</v>
      </c>
      <c r="B34" s="19" t="s">
        <v>336</v>
      </c>
      <c r="C34" s="19" t="s">
        <v>759</v>
      </c>
      <c r="D34" s="19" t="s">
        <v>760</v>
      </c>
      <c r="E34" s="20" t="s">
        <v>663</v>
      </c>
      <c r="F34" s="2"/>
      <c r="G34" s="2"/>
      <c r="H34" s="2"/>
    </row>
    <row r="35" customFormat="false" ht="23.85" hidden="false" customHeight="false" outlineLevel="0" collapsed="false">
      <c r="A35" s="19" t="s">
        <v>761</v>
      </c>
      <c r="B35" s="19" t="s">
        <v>336</v>
      </c>
      <c r="C35" s="19" t="s">
        <v>762</v>
      </c>
      <c r="D35" s="19" t="s">
        <v>763</v>
      </c>
      <c r="E35" s="20" t="s">
        <v>663</v>
      </c>
      <c r="F35" s="2"/>
      <c r="G35" s="2"/>
      <c r="H35" s="2"/>
    </row>
    <row r="36" customFormat="false" ht="23.85" hidden="false" customHeight="false" outlineLevel="0" collapsed="false">
      <c r="A36" s="19" t="s">
        <v>764</v>
      </c>
      <c r="B36" s="19" t="s">
        <v>336</v>
      </c>
      <c r="C36" s="19" t="s">
        <v>765</v>
      </c>
      <c r="D36" s="19" t="s">
        <v>766</v>
      </c>
      <c r="E36" s="20" t="s">
        <v>663</v>
      </c>
      <c r="F36" s="2"/>
      <c r="G36" s="2"/>
      <c r="H36" s="2"/>
    </row>
    <row r="37" customFormat="false" ht="23.85" hidden="false" customHeight="false" outlineLevel="0" collapsed="false">
      <c r="A37" s="19" t="s">
        <v>767</v>
      </c>
      <c r="B37" s="19" t="s">
        <v>336</v>
      </c>
      <c r="C37" s="19" t="s">
        <v>768</v>
      </c>
      <c r="D37" s="19" t="s">
        <v>769</v>
      </c>
      <c r="E37" s="20" t="s">
        <v>663</v>
      </c>
      <c r="F37" s="2"/>
      <c r="G37" s="2"/>
      <c r="H37" s="2"/>
    </row>
    <row r="38" customFormat="false" ht="23.85" hidden="false" customHeight="false" outlineLevel="0" collapsed="false">
      <c r="A38" s="19" t="s">
        <v>770</v>
      </c>
      <c r="B38" s="19" t="s">
        <v>340</v>
      </c>
      <c r="C38" s="19" t="s">
        <v>771</v>
      </c>
      <c r="D38" s="19" t="s">
        <v>772</v>
      </c>
      <c r="E38" s="20" t="s">
        <v>663</v>
      </c>
      <c r="F38" s="2"/>
      <c r="G38" s="2"/>
      <c r="H38" s="2"/>
    </row>
    <row r="39" customFormat="false" ht="23.85" hidden="false" customHeight="false" outlineLevel="0" collapsed="false">
      <c r="A39" s="19" t="s">
        <v>773</v>
      </c>
      <c r="B39" s="19" t="s">
        <v>340</v>
      </c>
      <c r="C39" s="19" t="s">
        <v>774</v>
      </c>
      <c r="D39" s="19" t="s">
        <v>775</v>
      </c>
      <c r="E39" s="20" t="s">
        <v>663</v>
      </c>
      <c r="F39" s="2"/>
      <c r="G39" s="2"/>
      <c r="H39" s="2"/>
    </row>
    <row r="40" customFormat="false" ht="23.85" hidden="false" customHeight="false" outlineLevel="0" collapsed="false">
      <c r="A40" s="19" t="s">
        <v>776</v>
      </c>
      <c r="B40" s="19" t="s">
        <v>340</v>
      </c>
      <c r="C40" s="19" t="s">
        <v>777</v>
      </c>
      <c r="D40" s="19" t="s">
        <v>778</v>
      </c>
      <c r="E40" s="20" t="s">
        <v>663</v>
      </c>
      <c r="F40" s="2"/>
      <c r="G40" s="2"/>
      <c r="H40" s="2"/>
    </row>
    <row r="41" customFormat="false" ht="23.85" hidden="false" customHeight="false" outlineLevel="0" collapsed="false">
      <c r="A41" s="19" t="s">
        <v>779</v>
      </c>
      <c r="B41" s="19" t="s">
        <v>340</v>
      </c>
      <c r="C41" s="19" t="s">
        <v>780</v>
      </c>
      <c r="D41" s="19" t="s">
        <v>781</v>
      </c>
      <c r="E41" s="20" t="s">
        <v>663</v>
      </c>
      <c r="F41" s="2"/>
      <c r="G41" s="2"/>
      <c r="H41" s="2"/>
    </row>
    <row r="42" customFormat="false" ht="23.85" hidden="false" customHeight="false" outlineLevel="0" collapsed="false">
      <c r="A42" s="19" t="s">
        <v>782</v>
      </c>
      <c r="B42" s="19" t="s">
        <v>340</v>
      </c>
      <c r="C42" s="19" t="s">
        <v>783</v>
      </c>
      <c r="D42" s="19" t="s">
        <v>784</v>
      </c>
      <c r="E42" s="20" t="s">
        <v>663</v>
      </c>
      <c r="F42" s="2"/>
      <c r="G42" s="2"/>
      <c r="H42" s="2"/>
    </row>
    <row r="43" customFormat="false" ht="23.85" hidden="false" customHeight="false" outlineLevel="0" collapsed="false">
      <c r="A43" s="19" t="s">
        <v>785</v>
      </c>
      <c r="B43" s="19" t="s">
        <v>345</v>
      </c>
      <c r="C43" s="19" t="s">
        <v>786</v>
      </c>
      <c r="D43" s="19" t="s">
        <v>787</v>
      </c>
      <c r="E43" s="20" t="s">
        <v>663</v>
      </c>
      <c r="F43" s="2"/>
      <c r="G43" s="2"/>
      <c r="H43" s="2"/>
    </row>
    <row r="44" customFormat="false" ht="23.85" hidden="false" customHeight="false" outlineLevel="0" collapsed="false">
      <c r="A44" s="19" t="s">
        <v>788</v>
      </c>
      <c r="B44" s="19" t="s">
        <v>345</v>
      </c>
      <c r="C44" s="19" t="s">
        <v>789</v>
      </c>
      <c r="D44" s="19" t="s">
        <v>790</v>
      </c>
      <c r="E44" s="20" t="s">
        <v>663</v>
      </c>
      <c r="F44" s="2"/>
      <c r="G44" s="2"/>
      <c r="H44" s="2"/>
    </row>
    <row r="45" customFormat="false" ht="23.85" hidden="false" customHeight="false" outlineLevel="0" collapsed="false">
      <c r="A45" s="19" t="s">
        <v>791</v>
      </c>
      <c r="B45" s="19" t="s">
        <v>345</v>
      </c>
      <c r="C45" s="19" t="s">
        <v>792</v>
      </c>
      <c r="D45" s="19" t="s">
        <v>793</v>
      </c>
      <c r="E45" s="20" t="s">
        <v>663</v>
      </c>
      <c r="F45" s="2"/>
      <c r="G45" s="2"/>
      <c r="H45" s="2"/>
    </row>
    <row r="46" customFormat="false" ht="23.85" hidden="false" customHeight="false" outlineLevel="0" collapsed="false">
      <c r="A46" s="19" t="s">
        <v>794</v>
      </c>
      <c r="B46" s="19" t="s">
        <v>345</v>
      </c>
      <c r="C46" s="19" t="s">
        <v>795</v>
      </c>
      <c r="D46" s="19" t="s">
        <v>796</v>
      </c>
      <c r="E46" s="20" t="s">
        <v>663</v>
      </c>
      <c r="F46" s="2"/>
      <c r="G46" s="2"/>
      <c r="H46" s="2"/>
    </row>
    <row r="47" customFormat="false" ht="23.85" hidden="false" customHeight="false" outlineLevel="0" collapsed="false">
      <c r="A47" s="19" t="s">
        <v>797</v>
      </c>
      <c r="B47" s="19" t="s">
        <v>345</v>
      </c>
      <c r="C47" s="19" t="s">
        <v>798</v>
      </c>
      <c r="D47" s="19" t="s">
        <v>799</v>
      </c>
      <c r="E47" s="20" t="s">
        <v>663</v>
      </c>
      <c r="F47" s="2"/>
      <c r="G47" s="2"/>
      <c r="H47" s="2"/>
    </row>
    <row r="48" customFormat="false" ht="23.85" hidden="false" customHeight="false" outlineLevel="0" collapsed="false">
      <c r="A48" s="19" t="s">
        <v>800</v>
      </c>
      <c r="B48" s="19" t="s">
        <v>349</v>
      </c>
      <c r="C48" s="19" t="s">
        <v>801</v>
      </c>
      <c r="D48" s="19" t="s">
        <v>802</v>
      </c>
      <c r="E48" s="20" t="s">
        <v>663</v>
      </c>
      <c r="F48" s="2"/>
      <c r="G48" s="2"/>
      <c r="H48" s="2"/>
    </row>
    <row r="49" customFormat="false" ht="23.85" hidden="false" customHeight="false" outlineLevel="0" collapsed="false">
      <c r="A49" s="19" t="s">
        <v>803</v>
      </c>
      <c r="B49" s="19" t="s">
        <v>349</v>
      </c>
      <c r="C49" s="19" t="s">
        <v>804</v>
      </c>
      <c r="D49" s="19" t="s">
        <v>805</v>
      </c>
      <c r="E49" s="20" t="s">
        <v>663</v>
      </c>
      <c r="F49" s="2"/>
      <c r="G49" s="2"/>
      <c r="H49" s="2"/>
    </row>
    <row r="50" customFormat="false" ht="23.85" hidden="false" customHeight="false" outlineLevel="0" collapsed="false">
      <c r="A50" s="19" t="s">
        <v>806</v>
      </c>
      <c r="B50" s="19" t="s">
        <v>349</v>
      </c>
      <c r="C50" s="19" t="s">
        <v>807</v>
      </c>
      <c r="D50" s="19" t="s">
        <v>808</v>
      </c>
      <c r="E50" s="20" t="s">
        <v>663</v>
      </c>
      <c r="F50" s="2"/>
      <c r="G50" s="2"/>
      <c r="H50" s="2"/>
    </row>
    <row r="51" customFormat="false" ht="23.85" hidden="false" customHeight="false" outlineLevel="0" collapsed="false">
      <c r="A51" s="19" t="s">
        <v>809</v>
      </c>
      <c r="B51" s="19" t="s">
        <v>349</v>
      </c>
      <c r="C51" s="19" t="s">
        <v>810</v>
      </c>
      <c r="D51" s="19" t="s">
        <v>811</v>
      </c>
      <c r="E51" s="20" t="s">
        <v>663</v>
      </c>
      <c r="F51" s="2"/>
      <c r="G51" s="2"/>
      <c r="H51" s="2"/>
    </row>
    <row r="52" customFormat="false" ht="23.85" hidden="false" customHeight="false" outlineLevel="0" collapsed="false">
      <c r="A52" s="19" t="s">
        <v>812</v>
      </c>
      <c r="B52" s="19" t="s">
        <v>349</v>
      </c>
      <c r="C52" s="19" t="s">
        <v>813</v>
      </c>
      <c r="D52" s="19" t="s">
        <v>814</v>
      </c>
      <c r="E52" s="20" t="s">
        <v>663</v>
      </c>
      <c r="F52" s="2"/>
      <c r="G52" s="2"/>
      <c r="H52" s="2"/>
    </row>
    <row r="53" customFormat="false" ht="23.85" hidden="false" customHeight="false" outlineLevel="0" collapsed="false">
      <c r="A53" s="19" t="s">
        <v>815</v>
      </c>
      <c r="B53" s="19" t="s">
        <v>353</v>
      </c>
      <c r="C53" s="19" t="s">
        <v>816</v>
      </c>
      <c r="D53" s="19" t="s">
        <v>817</v>
      </c>
      <c r="E53" s="20" t="s">
        <v>663</v>
      </c>
      <c r="F53" s="2"/>
      <c r="G53" s="2"/>
      <c r="H53" s="2"/>
    </row>
    <row r="54" customFormat="false" ht="23.85" hidden="false" customHeight="false" outlineLevel="0" collapsed="false">
      <c r="A54" s="19" t="s">
        <v>818</v>
      </c>
      <c r="B54" s="19" t="s">
        <v>353</v>
      </c>
      <c r="C54" s="19" t="s">
        <v>819</v>
      </c>
      <c r="D54" s="19" t="s">
        <v>820</v>
      </c>
      <c r="E54" s="20" t="s">
        <v>663</v>
      </c>
      <c r="F54" s="2"/>
      <c r="G54" s="2"/>
      <c r="H54" s="2"/>
    </row>
    <row r="55" customFormat="false" ht="23.85" hidden="false" customHeight="false" outlineLevel="0" collapsed="false">
      <c r="A55" s="19" t="s">
        <v>821</v>
      </c>
      <c r="B55" s="19" t="s">
        <v>353</v>
      </c>
      <c r="C55" s="19" t="s">
        <v>822</v>
      </c>
      <c r="D55" s="19" t="s">
        <v>823</v>
      </c>
      <c r="E55" s="20" t="s">
        <v>663</v>
      </c>
      <c r="F55" s="2"/>
      <c r="G55" s="2"/>
      <c r="H55" s="2"/>
    </row>
    <row r="56" customFormat="false" ht="23.85" hidden="false" customHeight="false" outlineLevel="0" collapsed="false">
      <c r="A56" s="19" t="s">
        <v>824</v>
      </c>
      <c r="B56" s="19" t="s">
        <v>353</v>
      </c>
      <c r="C56" s="19" t="s">
        <v>825</v>
      </c>
      <c r="D56" s="19" t="s">
        <v>826</v>
      </c>
      <c r="E56" s="20" t="s">
        <v>663</v>
      </c>
      <c r="F56" s="2"/>
      <c r="G56" s="2"/>
      <c r="H56" s="2"/>
    </row>
    <row r="57" customFormat="false" ht="23.85" hidden="false" customHeight="false" outlineLevel="0" collapsed="false">
      <c r="A57" s="19" t="s">
        <v>827</v>
      </c>
      <c r="B57" s="19" t="s">
        <v>353</v>
      </c>
      <c r="C57" s="19" t="s">
        <v>828</v>
      </c>
      <c r="D57" s="19" t="s">
        <v>829</v>
      </c>
      <c r="E57" s="20" t="s">
        <v>663</v>
      </c>
      <c r="F57" s="2"/>
      <c r="G57" s="2"/>
      <c r="H57" s="2"/>
    </row>
    <row r="58" customFormat="false" ht="23.85" hidden="false" customHeight="false" outlineLevel="0" collapsed="false">
      <c r="A58" s="19" t="s">
        <v>830</v>
      </c>
      <c r="B58" s="19" t="s">
        <v>331</v>
      </c>
      <c r="C58" s="19" t="s">
        <v>831</v>
      </c>
      <c r="D58" s="19" t="s">
        <v>832</v>
      </c>
      <c r="E58" s="20" t="s">
        <v>663</v>
      </c>
      <c r="F58" s="2"/>
      <c r="G58" s="2"/>
      <c r="H58" s="2"/>
    </row>
    <row r="59" customFormat="false" ht="23.85" hidden="false" customHeight="false" outlineLevel="0" collapsed="false">
      <c r="A59" s="19" t="s">
        <v>833</v>
      </c>
      <c r="B59" s="19" t="s">
        <v>331</v>
      </c>
      <c r="C59" s="19" t="s">
        <v>834</v>
      </c>
      <c r="D59" s="19" t="s">
        <v>835</v>
      </c>
      <c r="E59" s="20" t="s">
        <v>663</v>
      </c>
      <c r="F59" s="2"/>
      <c r="G59" s="2"/>
      <c r="H59" s="2"/>
    </row>
    <row r="60" customFormat="false" ht="23.85" hidden="false" customHeight="false" outlineLevel="0" collapsed="false">
      <c r="A60" s="19" t="s">
        <v>836</v>
      </c>
      <c r="B60" s="19" t="s">
        <v>331</v>
      </c>
      <c r="C60" s="19" t="s">
        <v>837</v>
      </c>
      <c r="D60" s="19" t="s">
        <v>838</v>
      </c>
      <c r="E60" s="20" t="s">
        <v>663</v>
      </c>
      <c r="F60" s="2"/>
      <c r="G60" s="2"/>
      <c r="H60" s="2"/>
    </row>
    <row r="61" customFormat="false" ht="23.85" hidden="false" customHeight="false" outlineLevel="0" collapsed="false">
      <c r="A61" s="19" t="s">
        <v>839</v>
      </c>
      <c r="B61" s="19" t="s">
        <v>331</v>
      </c>
      <c r="C61" s="19" t="s">
        <v>840</v>
      </c>
      <c r="D61" s="19" t="s">
        <v>841</v>
      </c>
      <c r="E61" s="20" t="s">
        <v>663</v>
      </c>
      <c r="F61" s="2"/>
      <c r="G61" s="2"/>
      <c r="H61" s="2"/>
    </row>
    <row r="62" customFormat="false" ht="23.85" hidden="false" customHeight="false" outlineLevel="0" collapsed="false">
      <c r="A62" s="19" t="s">
        <v>842</v>
      </c>
      <c r="B62" s="19" t="s">
        <v>331</v>
      </c>
      <c r="C62" s="19" t="s">
        <v>843</v>
      </c>
      <c r="D62" s="19" t="s">
        <v>844</v>
      </c>
      <c r="E62" s="20" t="s">
        <v>663</v>
      </c>
      <c r="F62" s="2"/>
      <c r="G62" s="2"/>
      <c r="H62" s="2"/>
    </row>
    <row r="63" customFormat="false" ht="23.85" hidden="false" customHeight="false" outlineLevel="0" collapsed="false">
      <c r="A63" s="19" t="s">
        <v>845</v>
      </c>
      <c r="B63" s="19" t="s">
        <v>249</v>
      </c>
      <c r="C63" s="19" t="s">
        <v>846</v>
      </c>
      <c r="D63" s="19" t="s">
        <v>847</v>
      </c>
      <c r="E63" s="20" t="s">
        <v>663</v>
      </c>
      <c r="F63" s="2"/>
      <c r="G63" s="2"/>
      <c r="H63" s="2"/>
    </row>
    <row r="64" customFormat="false" ht="35.05" hidden="false" customHeight="false" outlineLevel="0" collapsed="false">
      <c r="A64" s="19" t="s">
        <v>848</v>
      </c>
      <c r="B64" s="19" t="s">
        <v>249</v>
      </c>
      <c r="C64" s="19" t="s">
        <v>849</v>
      </c>
      <c r="D64" s="19" t="s">
        <v>850</v>
      </c>
      <c r="E64" s="20" t="s">
        <v>663</v>
      </c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68"/>
  </cols>
  <sheetData>
    <row r="1" customFormat="false" ht="15" hidden="false" customHeight="false" outlineLevel="0" collapsed="false">
      <c r="A1" s="18" t="s">
        <v>91</v>
      </c>
      <c r="B1" s="18" t="s">
        <v>51</v>
      </c>
      <c r="C1" s="18" t="s">
        <v>851</v>
      </c>
      <c r="D1" s="18" t="s">
        <v>852</v>
      </c>
      <c r="E1" s="18" t="s">
        <v>853</v>
      </c>
      <c r="F1" s="18" t="s">
        <v>854</v>
      </c>
      <c r="G1" s="2"/>
      <c r="H1" s="2"/>
      <c r="I1" s="2"/>
    </row>
    <row r="2" customFormat="false" ht="23.85" hidden="false" customHeight="false" outlineLevel="0" collapsed="false">
      <c r="A2" s="19" t="s">
        <v>855</v>
      </c>
      <c r="B2" s="19" t="s">
        <v>249</v>
      </c>
      <c r="C2" s="19" t="s">
        <v>856</v>
      </c>
      <c r="D2" s="19" t="s">
        <v>364</v>
      </c>
      <c r="E2" s="19" t="s">
        <v>857</v>
      </c>
      <c r="F2" s="19" t="s">
        <v>858</v>
      </c>
      <c r="G2" s="2"/>
      <c r="H2" s="2"/>
      <c r="I2" s="2"/>
    </row>
    <row r="3" customFormat="false" ht="23.85" hidden="false" customHeight="false" outlineLevel="0" collapsed="false">
      <c r="A3" s="19" t="s">
        <v>859</v>
      </c>
      <c r="B3" s="19" t="s">
        <v>249</v>
      </c>
      <c r="C3" s="19" t="s">
        <v>856</v>
      </c>
      <c r="D3" s="19" t="s">
        <v>367</v>
      </c>
      <c r="E3" s="19" t="s">
        <v>860</v>
      </c>
      <c r="F3" s="19" t="s">
        <v>861</v>
      </c>
      <c r="G3" s="2"/>
      <c r="H3" s="2"/>
      <c r="I3" s="2"/>
    </row>
    <row r="4" customFormat="false" ht="23.85" hidden="false" customHeight="false" outlineLevel="0" collapsed="false">
      <c r="A4" s="19" t="s">
        <v>862</v>
      </c>
      <c r="B4" s="19" t="s">
        <v>249</v>
      </c>
      <c r="C4" s="19" t="s">
        <v>856</v>
      </c>
      <c r="D4" s="19" t="s">
        <v>369</v>
      </c>
      <c r="E4" s="19" t="s">
        <v>863</v>
      </c>
      <c r="F4" s="19" t="s">
        <v>864</v>
      </c>
      <c r="G4" s="2"/>
      <c r="H4" s="2"/>
      <c r="I4" s="2"/>
    </row>
    <row r="5" customFormat="false" ht="23.85" hidden="false" customHeight="false" outlineLevel="0" collapsed="false">
      <c r="A5" s="19" t="s">
        <v>865</v>
      </c>
      <c r="B5" s="19" t="s">
        <v>249</v>
      </c>
      <c r="C5" s="19" t="s">
        <v>866</v>
      </c>
      <c r="D5" s="19" t="s">
        <v>371</v>
      </c>
      <c r="E5" s="19" t="s">
        <v>867</v>
      </c>
      <c r="F5" s="19" t="s">
        <v>868</v>
      </c>
      <c r="G5" s="2"/>
      <c r="H5" s="2"/>
      <c r="I5" s="2"/>
    </row>
    <row r="6" customFormat="false" ht="23.85" hidden="false" customHeight="false" outlineLevel="0" collapsed="false">
      <c r="A6" s="19" t="s">
        <v>869</v>
      </c>
      <c r="B6" s="19" t="s">
        <v>249</v>
      </c>
      <c r="C6" s="19" t="s">
        <v>500</v>
      </c>
      <c r="D6" s="19" t="s">
        <v>373</v>
      </c>
      <c r="E6" s="19" t="s">
        <v>870</v>
      </c>
      <c r="F6" s="19" t="s">
        <v>871</v>
      </c>
      <c r="G6" s="2"/>
      <c r="H6" s="2"/>
      <c r="I6" s="2"/>
    </row>
    <row r="7" customFormat="false" ht="23.85" hidden="false" customHeight="false" outlineLevel="0" collapsed="false">
      <c r="A7" s="19" t="s">
        <v>872</v>
      </c>
      <c r="B7" s="19" t="s">
        <v>249</v>
      </c>
      <c r="C7" s="19" t="s">
        <v>866</v>
      </c>
      <c r="D7" s="19" t="s">
        <v>376</v>
      </c>
      <c r="E7" s="19" t="s">
        <v>873</v>
      </c>
      <c r="F7" s="19" t="s">
        <v>874</v>
      </c>
      <c r="G7" s="2"/>
      <c r="H7" s="2"/>
      <c r="I7" s="2"/>
    </row>
    <row r="8" customFormat="false" ht="23.85" hidden="false" customHeight="false" outlineLevel="0" collapsed="false">
      <c r="A8" s="19" t="s">
        <v>875</v>
      </c>
      <c r="B8" s="19" t="s">
        <v>249</v>
      </c>
      <c r="C8" s="19" t="s">
        <v>866</v>
      </c>
      <c r="D8" s="19" t="s">
        <v>378</v>
      </c>
      <c r="E8" s="19" t="s">
        <v>876</v>
      </c>
      <c r="F8" s="19" t="s">
        <v>877</v>
      </c>
      <c r="G8" s="2"/>
      <c r="H8" s="2"/>
      <c r="I8" s="2"/>
    </row>
    <row r="9" customFormat="false" ht="23.85" hidden="false" customHeight="false" outlineLevel="0" collapsed="false">
      <c r="A9" s="19" t="s">
        <v>878</v>
      </c>
      <c r="B9" s="19" t="s">
        <v>249</v>
      </c>
      <c r="C9" s="19" t="s">
        <v>879</v>
      </c>
      <c r="D9" s="19" t="s">
        <v>380</v>
      </c>
      <c r="E9" s="19" t="s">
        <v>880</v>
      </c>
      <c r="F9" s="19" t="s">
        <v>881</v>
      </c>
      <c r="G9" s="2"/>
      <c r="H9" s="2"/>
      <c r="I9" s="2"/>
    </row>
    <row r="10" customFormat="false" ht="23.85" hidden="false" customHeight="false" outlineLevel="0" collapsed="false">
      <c r="A10" s="19" t="s">
        <v>882</v>
      </c>
      <c r="B10" s="19" t="s">
        <v>249</v>
      </c>
      <c r="C10" s="19" t="s">
        <v>883</v>
      </c>
      <c r="D10" s="19" t="s">
        <v>382</v>
      </c>
      <c r="E10" s="19" t="s">
        <v>884</v>
      </c>
      <c r="F10" s="19" t="s">
        <v>885</v>
      </c>
      <c r="G10" s="2"/>
      <c r="H10" s="2"/>
      <c r="I10" s="2"/>
    </row>
    <row r="11" customFormat="false" ht="23.85" hidden="false" customHeight="false" outlineLevel="0" collapsed="false">
      <c r="A11" s="19" t="s">
        <v>886</v>
      </c>
      <c r="B11" s="19" t="s">
        <v>260</v>
      </c>
      <c r="C11" s="19" t="s">
        <v>883</v>
      </c>
      <c r="D11" s="19" t="s">
        <v>384</v>
      </c>
      <c r="E11" s="19" t="s">
        <v>887</v>
      </c>
      <c r="F11" s="19" t="s">
        <v>888</v>
      </c>
      <c r="G11" s="2"/>
      <c r="H11" s="2"/>
      <c r="I11" s="2"/>
    </row>
    <row r="12" customFormat="false" ht="23.85" hidden="false" customHeight="false" outlineLevel="0" collapsed="false">
      <c r="A12" s="19" t="s">
        <v>889</v>
      </c>
      <c r="B12" s="19" t="s">
        <v>260</v>
      </c>
      <c r="C12" s="19" t="s">
        <v>866</v>
      </c>
      <c r="D12" s="19" t="s">
        <v>387</v>
      </c>
      <c r="E12" s="19" t="s">
        <v>890</v>
      </c>
      <c r="F12" s="19" t="s">
        <v>891</v>
      </c>
      <c r="G12" s="2"/>
      <c r="H12" s="2"/>
      <c r="I12" s="2"/>
    </row>
    <row r="13" customFormat="false" ht="23.85" hidden="false" customHeight="false" outlineLevel="0" collapsed="false">
      <c r="A13" s="19" t="s">
        <v>892</v>
      </c>
      <c r="B13" s="19" t="s">
        <v>260</v>
      </c>
      <c r="C13" s="19" t="s">
        <v>893</v>
      </c>
      <c r="D13" s="19" t="s">
        <v>389</v>
      </c>
      <c r="E13" s="19" t="s">
        <v>894</v>
      </c>
      <c r="F13" s="19" t="s">
        <v>895</v>
      </c>
      <c r="G13" s="2"/>
      <c r="H13" s="2"/>
      <c r="I13" s="2"/>
    </row>
    <row r="14" customFormat="false" ht="23.85" hidden="false" customHeight="false" outlineLevel="0" collapsed="false">
      <c r="A14" s="19" t="s">
        <v>896</v>
      </c>
      <c r="B14" s="19" t="s">
        <v>260</v>
      </c>
      <c r="C14" s="19" t="s">
        <v>500</v>
      </c>
      <c r="D14" s="19" t="s">
        <v>391</v>
      </c>
      <c r="E14" s="19" t="s">
        <v>897</v>
      </c>
      <c r="F14" s="19" t="s">
        <v>898</v>
      </c>
      <c r="G14" s="2"/>
      <c r="H14" s="2"/>
      <c r="I14" s="2"/>
    </row>
    <row r="15" customFormat="false" ht="23.85" hidden="false" customHeight="false" outlineLevel="0" collapsed="false">
      <c r="A15" s="19" t="s">
        <v>899</v>
      </c>
      <c r="B15" s="19" t="s">
        <v>260</v>
      </c>
      <c r="C15" s="19" t="s">
        <v>900</v>
      </c>
      <c r="D15" s="19" t="s">
        <v>393</v>
      </c>
      <c r="E15" s="19" t="s">
        <v>901</v>
      </c>
      <c r="F15" s="19" t="s">
        <v>902</v>
      </c>
      <c r="G15" s="2"/>
      <c r="H15" s="2"/>
      <c r="I15" s="2"/>
    </row>
    <row r="16" customFormat="false" ht="23.85" hidden="false" customHeight="false" outlineLevel="0" collapsed="false">
      <c r="A16" s="19" t="s">
        <v>903</v>
      </c>
      <c r="B16" s="19" t="s">
        <v>260</v>
      </c>
      <c r="C16" s="19" t="s">
        <v>893</v>
      </c>
      <c r="D16" s="19" t="s">
        <v>395</v>
      </c>
      <c r="E16" s="19" t="s">
        <v>904</v>
      </c>
      <c r="F16" s="19" t="s">
        <v>905</v>
      </c>
      <c r="G16" s="2"/>
      <c r="H16" s="2"/>
      <c r="I16" s="2"/>
    </row>
    <row r="17" customFormat="false" ht="23.85" hidden="false" customHeight="false" outlineLevel="0" collapsed="false">
      <c r="A17" s="19" t="s">
        <v>906</v>
      </c>
      <c r="B17" s="19" t="s">
        <v>260</v>
      </c>
      <c r="C17" s="19" t="s">
        <v>148</v>
      </c>
      <c r="D17" s="19" t="s">
        <v>148</v>
      </c>
      <c r="E17" s="19" t="s">
        <v>907</v>
      </c>
      <c r="F17" s="19" t="s">
        <v>908</v>
      </c>
      <c r="G17" s="2"/>
      <c r="H17" s="2"/>
      <c r="I17" s="2"/>
    </row>
    <row r="18" customFormat="false" ht="23.85" hidden="false" customHeight="false" outlineLevel="0" collapsed="false">
      <c r="A18" s="19" t="s">
        <v>909</v>
      </c>
      <c r="B18" s="19" t="s">
        <v>260</v>
      </c>
      <c r="C18" s="19" t="s">
        <v>910</v>
      </c>
      <c r="D18" s="19" t="s">
        <v>398</v>
      </c>
      <c r="E18" s="19" t="s">
        <v>911</v>
      </c>
      <c r="F18" s="19" t="s">
        <v>912</v>
      </c>
      <c r="G18" s="2"/>
      <c r="H18" s="2"/>
      <c r="I18" s="2"/>
    </row>
    <row r="19" customFormat="false" ht="23.85" hidden="false" customHeight="false" outlineLevel="0" collapsed="false">
      <c r="A19" s="19" t="s">
        <v>913</v>
      </c>
      <c r="B19" s="19" t="s">
        <v>271</v>
      </c>
      <c r="C19" s="19" t="s">
        <v>914</v>
      </c>
      <c r="D19" s="19" t="s">
        <v>400</v>
      </c>
      <c r="E19" s="19" t="s">
        <v>915</v>
      </c>
      <c r="F19" s="19" t="s">
        <v>916</v>
      </c>
      <c r="G19" s="2"/>
      <c r="H19" s="2"/>
      <c r="I19" s="2"/>
    </row>
    <row r="20" customFormat="false" ht="23.85" hidden="false" customHeight="false" outlineLevel="0" collapsed="false">
      <c r="A20" s="19" t="s">
        <v>917</v>
      </c>
      <c r="B20" s="19" t="s">
        <v>271</v>
      </c>
      <c r="C20" s="19" t="s">
        <v>900</v>
      </c>
      <c r="D20" s="19" t="s">
        <v>403</v>
      </c>
      <c r="E20" s="19" t="s">
        <v>918</v>
      </c>
      <c r="F20" s="19" t="s">
        <v>919</v>
      </c>
      <c r="G20" s="2"/>
      <c r="H20" s="2"/>
      <c r="I20" s="2"/>
    </row>
    <row r="21" customFormat="false" ht="15" hidden="false" customHeight="false" outlineLevel="0" collapsed="false">
      <c r="A21" s="19" t="s">
        <v>920</v>
      </c>
      <c r="B21" s="19" t="s">
        <v>271</v>
      </c>
      <c r="C21" s="19" t="s">
        <v>900</v>
      </c>
      <c r="D21" s="19" t="s">
        <v>405</v>
      </c>
      <c r="E21" s="19" t="s">
        <v>921</v>
      </c>
      <c r="F21" s="19" t="s">
        <v>922</v>
      </c>
      <c r="G21" s="2"/>
      <c r="H21" s="2"/>
      <c r="I21" s="2"/>
    </row>
    <row r="22" customFormat="false" ht="23.85" hidden="false" customHeight="false" outlineLevel="0" collapsed="false">
      <c r="A22" s="19" t="s">
        <v>923</v>
      </c>
      <c r="B22" s="19" t="s">
        <v>271</v>
      </c>
      <c r="C22" s="19" t="s">
        <v>900</v>
      </c>
      <c r="D22" s="19" t="s">
        <v>407</v>
      </c>
      <c r="E22" s="19" t="s">
        <v>924</v>
      </c>
      <c r="F22" s="19" t="s">
        <v>925</v>
      </c>
      <c r="G22" s="2"/>
      <c r="H22" s="2"/>
      <c r="I22" s="2"/>
    </row>
    <row r="23" customFormat="false" ht="23.85" hidden="false" customHeight="false" outlineLevel="0" collapsed="false">
      <c r="A23" s="19" t="s">
        <v>926</v>
      </c>
      <c r="B23" s="19" t="s">
        <v>271</v>
      </c>
      <c r="C23" s="19" t="s">
        <v>900</v>
      </c>
      <c r="D23" s="19" t="s">
        <v>248</v>
      </c>
      <c r="E23" s="19" t="s">
        <v>927</v>
      </c>
      <c r="F23" s="19" t="s">
        <v>928</v>
      </c>
      <c r="G23" s="2"/>
      <c r="H23" s="2"/>
      <c r="I23" s="2"/>
    </row>
    <row r="24" customFormat="false" ht="23.85" hidden="false" customHeight="false" outlineLevel="0" collapsed="false">
      <c r="A24" s="19" t="s">
        <v>929</v>
      </c>
      <c r="B24" s="19" t="s">
        <v>271</v>
      </c>
      <c r="C24" s="19" t="s">
        <v>914</v>
      </c>
      <c r="D24" s="19" t="s">
        <v>410</v>
      </c>
      <c r="E24" s="19" t="s">
        <v>930</v>
      </c>
      <c r="F24" s="19" t="s">
        <v>931</v>
      </c>
      <c r="G24" s="2"/>
      <c r="H24" s="2"/>
      <c r="I24" s="2"/>
    </row>
    <row r="25" customFormat="false" ht="23.85" hidden="false" customHeight="false" outlineLevel="0" collapsed="false">
      <c r="A25" s="19" t="s">
        <v>932</v>
      </c>
      <c r="B25" s="19" t="s">
        <v>271</v>
      </c>
      <c r="C25" s="19" t="s">
        <v>893</v>
      </c>
      <c r="D25" s="19" t="s">
        <v>412</v>
      </c>
      <c r="E25" s="19" t="s">
        <v>933</v>
      </c>
      <c r="F25" s="19" t="s">
        <v>934</v>
      </c>
      <c r="G25" s="2"/>
      <c r="H25" s="2"/>
      <c r="I25" s="2"/>
    </row>
    <row r="26" customFormat="false" ht="23.85" hidden="false" customHeight="false" outlineLevel="0" collapsed="false">
      <c r="A26" s="19" t="s">
        <v>935</v>
      </c>
      <c r="B26" s="19" t="s">
        <v>271</v>
      </c>
      <c r="C26" s="19" t="s">
        <v>936</v>
      </c>
      <c r="D26" s="19" t="s">
        <v>414</v>
      </c>
      <c r="E26" s="19" t="s">
        <v>937</v>
      </c>
      <c r="F26" s="19" t="s">
        <v>938</v>
      </c>
      <c r="G26" s="2"/>
      <c r="H26" s="2"/>
      <c r="I26" s="2"/>
    </row>
    <row r="27" customFormat="false" ht="23.85" hidden="false" customHeight="false" outlineLevel="0" collapsed="false">
      <c r="A27" s="19" t="s">
        <v>939</v>
      </c>
      <c r="B27" s="19" t="s">
        <v>271</v>
      </c>
      <c r="C27" s="19" t="s">
        <v>914</v>
      </c>
      <c r="D27" s="19" t="s">
        <v>291</v>
      </c>
      <c r="E27" s="19" t="s">
        <v>940</v>
      </c>
      <c r="F27" s="19" t="s">
        <v>941</v>
      </c>
      <c r="G27" s="2"/>
      <c r="H27" s="2"/>
      <c r="I27" s="2"/>
    </row>
    <row r="28" customFormat="false" ht="23.85" hidden="false" customHeight="false" outlineLevel="0" collapsed="false">
      <c r="A28" s="19" t="s">
        <v>942</v>
      </c>
      <c r="B28" s="19" t="s">
        <v>294</v>
      </c>
      <c r="C28" s="19" t="s">
        <v>943</v>
      </c>
      <c r="D28" s="19" t="s">
        <v>417</v>
      </c>
      <c r="E28" s="19" t="s">
        <v>944</v>
      </c>
      <c r="F28" s="19" t="s">
        <v>945</v>
      </c>
      <c r="G28" s="2"/>
      <c r="H28" s="2"/>
      <c r="I28" s="2"/>
    </row>
    <row r="29" customFormat="false" ht="23.85" hidden="false" customHeight="false" outlineLevel="0" collapsed="false">
      <c r="A29" s="19" t="s">
        <v>946</v>
      </c>
      <c r="B29" s="19" t="s">
        <v>294</v>
      </c>
      <c r="C29" s="19" t="s">
        <v>893</v>
      </c>
      <c r="D29" s="19" t="s">
        <v>420</v>
      </c>
      <c r="E29" s="19" t="s">
        <v>947</v>
      </c>
      <c r="F29" s="19" t="s">
        <v>948</v>
      </c>
      <c r="G29" s="2"/>
      <c r="H29" s="2"/>
      <c r="I29" s="2"/>
    </row>
    <row r="30" customFormat="false" ht="23.85" hidden="false" customHeight="false" outlineLevel="0" collapsed="false">
      <c r="A30" s="19" t="s">
        <v>949</v>
      </c>
      <c r="B30" s="19" t="s">
        <v>294</v>
      </c>
      <c r="C30" s="19" t="s">
        <v>900</v>
      </c>
      <c r="D30" s="19" t="s">
        <v>422</v>
      </c>
      <c r="E30" s="19" t="s">
        <v>950</v>
      </c>
      <c r="F30" s="19" t="s">
        <v>951</v>
      </c>
      <c r="G30" s="2"/>
      <c r="H30" s="2"/>
      <c r="I30" s="2"/>
    </row>
    <row r="31" customFormat="false" ht="23.85" hidden="false" customHeight="false" outlineLevel="0" collapsed="false">
      <c r="A31" s="19" t="s">
        <v>952</v>
      </c>
      <c r="B31" s="19" t="s">
        <v>309</v>
      </c>
      <c r="C31" s="19" t="s">
        <v>936</v>
      </c>
      <c r="D31" s="19" t="s">
        <v>424</v>
      </c>
      <c r="E31" s="19" t="s">
        <v>953</v>
      </c>
      <c r="F31" s="19" t="s">
        <v>954</v>
      </c>
      <c r="G31" s="2"/>
      <c r="H31" s="2"/>
      <c r="I31" s="2"/>
    </row>
    <row r="32" customFormat="false" ht="35.05" hidden="false" customHeight="false" outlineLevel="0" collapsed="false">
      <c r="A32" s="19" t="s">
        <v>955</v>
      </c>
      <c r="B32" s="19" t="s">
        <v>309</v>
      </c>
      <c r="C32" s="19" t="s">
        <v>936</v>
      </c>
      <c r="D32" s="19" t="s">
        <v>414</v>
      </c>
      <c r="E32" s="19" t="s">
        <v>956</v>
      </c>
      <c r="F32" s="19" t="s">
        <v>957</v>
      </c>
      <c r="G32" s="2"/>
      <c r="H32" s="2"/>
      <c r="I32" s="2"/>
    </row>
    <row r="33" customFormat="false" ht="23.85" hidden="false" customHeight="false" outlineLevel="0" collapsed="false">
      <c r="A33" s="19" t="s">
        <v>958</v>
      </c>
      <c r="B33" s="19" t="s">
        <v>309</v>
      </c>
      <c r="C33" s="19" t="s">
        <v>900</v>
      </c>
      <c r="D33" s="19" t="s">
        <v>428</v>
      </c>
      <c r="E33" s="19" t="s">
        <v>959</v>
      </c>
      <c r="F33" s="19" t="s">
        <v>960</v>
      </c>
      <c r="G33" s="2"/>
      <c r="H33" s="2"/>
      <c r="I33" s="2"/>
    </row>
    <row r="34" customFormat="false" ht="23.85" hidden="false" customHeight="false" outlineLevel="0" collapsed="false">
      <c r="A34" s="19" t="s">
        <v>961</v>
      </c>
      <c r="B34" s="19" t="s">
        <v>309</v>
      </c>
      <c r="C34" s="19" t="s">
        <v>856</v>
      </c>
      <c r="D34" s="19" t="s">
        <v>430</v>
      </c>
      <c r="E34" s="19" t="s">
        <v>962</v>
      </c>
      <c r="F34" s="19" t="s">
        <v>963</v>
      </c>
      <c r="G34" s="2"/>
      <c r="H34" s="2"/>
      <c r="I34" s="2"/>
    </row>
    <row r="35" customFormat="false" ht="23.85" hidden="false" customHeight="false" outlineLevel="0" collapsed="false">
      <c r="A35" s="19" t="s">
        <v>964</v>
      </c>
      <c r="B35" s="19" t="s">
        <v>309</v>
      </c>
      <c r="C35" s="19" t="s">
        <v>910</v>
      </c>
      <c r="D35" s="19" t="s">
        <v>432</v>
      </c>
      <c r="E35" s="19" t="s">
        <v>965</v>
      </c>
      <c r="F35" s="19" t="s">
        <v>966</v>
      </c>
      <c r="G35" s="2"/>
      <c r="H35" s="2"/>
      <c r="I35" s="2"/>
    </row>
    <row r="36" customFormat="false" ht="23.85" hidden="false" customHeight="false" outlineLevel="0" collapsed="false">
      <c r="A36" s="19" t="s">
        <v>967</v>
      </c>
      <c r="B36" s="19" t="s">
        <v>322</v>
      </c>
      <c r="C36" s="19" t="s">
        <v>943</v>
      </c>
      <c r="D36" s="19" t="s">
        <v>434</v>
      </c>
      <c r="E36" s="19" t="s">
        <v>968</v>
      </c>
      <c r="F36" s="19" t="s">
        <v>969</v>
      </c>
      <c r="G36" s="2"/>
      <c r="H36" s="2"/>
      <c r="I36" s="2"/>
    </row>
    <row r="37" customFormat="false" ht="23.85" hidden="false" customHeight="false" outlineLevel="0" collapsed="false">
      <c r="A37" s="19" t="s">
        <v>970</v>
      </c>
      <c r="B37" s="19" t="s">
        <v>322</v>
      </c>
      <c r="C37" s="19" t="s">
        <v>900</v>
      </c>
      <c r="D37" s="19" t="s">
        <v>437</v>
      </c>
      <c r="E37" s="19" t="s">
        <v>971</v>
      </c>
      <c r="F37" s="19" t="s">
        <v>972</v>
      </c>
      <c r="G37" s="2"/>
      <c r="H37" s="2"/>
      <c r="I37" s="2"/>
    </row>
    <row r="38" customFormat="false" ht="23.85" hidden="false" customHeight="false" outlineLevel="0" collapsed="false">
      <c r="A38" s="19" t="s">
        <v>973</v>
      </c>
      <c r="B38" s="19" t="s">
        <v>322</v>
      </c>
      <c r="C38" s="19" t="s">
        <v>914</v>
      </c>
      <c r="D38" s="19" t="s">
        <v>439</v>
      </c>
      <c r="E38" s="19" t="s">
        <v>974</v>
      </c>
      <c r="F38" s="19" t="s">
        <v>975</v>
      </c>
      <c r="G38" s="2"/>
      <c r="H38" s="2"/>
      <c r="I38" s="2"/>
    </row>
    <row r="39" customFormat="false" ht="23.85" hidden="false" customHeight="false" outlineLevel="0" collapsed="false">
      <c r="A39" s="19" t="s">
        <v>976</v>
      </c>
      <c r="B39" s="19" t="s">
        <v>331</v>
      </c>
      <c r="C39" s="19" t="s">
        <v>500</v>
      </c>
      <c r="D39" s="19" t="s">
        <v>444</v>
      </c>
      <c r="E39" s="19" t="s">
        <v>977</v>
      </c>
      <c r="F39" s="19" t="s">
        <v>978</v>
      </c>
      <c r="G39" s="2"/>
      <c r="H39" s="2"/>
      <c r="I39" s="2"/>
    </row>
    <row r="40" customFormat="false" ht="23.85" hidden="false" customHeight="false" outlineLevel="0" collapsed="false">
      <c r="A40" s="19" t="s">
        <v>979</v>
      </c>
      <c r="B40" s="19" t="s">
        <v>331</v>
      </c>
      <c r="C40" s="19" t="s">
        <v>500</v>
      </c>
      <c r="D40" s="19" t="s">
        <v>447</v>
      </c>
      <c r="E40" s="19" t="s">
        <v>980</v>
      </c>
      <c r="F40" s="19" t="s">
        <v>981</v>
      </c>
      <c r="G40" s="2"/>
      <c r="H40" s="2"/>
      <c r="I40" s="2"/>
    </row>
    <row r="41" customFormat="false" ht="23.85" hidden="false" customHeight="false" outlineLevel="0" collapsed="false">
      <c r="A41" s="19" t="s">
        <v>982</v>
      </c>
      <c r="B41" s="19" t="s">
        <v>331</v>
      </c>
      <c r="C41" s="19" t="s">
        <v>900</v>
      </c>
      <c r="D41" s="19" t="s">
        <v>449</v>
      </c>
      <c r="E41" s="19" t="s">
        <v>983</v>
      </c>
      <c r="F41" s="19" t="s">
        <v>984</v>
      </c>
      <c r="G41" s="2"/>
      <c r="H41" s="2"/>
      <c r="I41" s="2"/>
    </row>
    <row r="42" customFormat="false" ht="23.85" hidden="false" customHeight="false" outlineLevel="0" collapsed="false">
      <c r="A42" s="19" t="s">
        <v>985</v>
      </c>
      <c r="B42" s="19" t="s">
        <v>331</v>
      </c>
      <c r="C42" s="19" t="s">
        <v>900</v>
      </c>
      <c r="D42" s="19" t="s">
        <v>451</v>
      </c>
      <c r="E42" s="19" t="s">
        <v>986</v>
      </c>
      <c r="F42" s="19" t="s">
        <v>987</v>
      </c>
      <c r="G42" s="2"/>
      <c r="H42" s="2"/>
      <c r="I42" s="2"/>
    </row>
    <row r="43" customFormat="false" ht="15" hidden="false" customHeight="false" outlineLevel="0" collapsed="false">
      <c r="A43" s="19" t="s">
        <v>988</v>
      </c>
      <c r="B43" s="19" t="s">
        <v>336</v>
      </c>
      <c r="C43" s="19" t="s">
        <v>456</v>
      </c>
      <c r="D43" s="19" t="s">
        <v>456</v>
      </c>
      <c r="E43" s="19" t="s">
        <v>989</v>
      </c>
      <c r="F43" s="19" t="s">
        <v>990</v>
      </c>
      <c r="G43" s="2"/>
      <c r="H43" s="2"/>
      <c r="I43" s="2"/>
    </row>
    <row r="44" customFormat="false" ht="23.85" hidden="false" customHeight="false" outlineLevel="0" collapsed="false">
      <c r="A44" s="19" t="s">
        <v>991</v>
      </c>
      <c r="B44" s="19" t="s">
        <v>336</v>
      </c>
      <c r="C44" s="19" t="s">
        <v>936</v>
      </c>
      <c r="D44" s="19" t="s">
        <v>458</v>
      </c>
      <c r="E44" s="19" t="s">
        <v>992</v>
      </c>
      <c r="F44" s="19" t="s">
        <v>993</v>
      </c>
      <c r="G44" s="2"/>
      <c r="H44" s="2"/>
      <c r="I44" s="2"/>
    </row>
    <row r="45" customFormat="false" ht="23.85" hidden="false" customHeight="false" outlineLevel="0" collapsed="false">
      <c r="A45" s="19" t="s">
        <v>994</v>
      </c>
      <c r="B45" s="19" t="s">
        <v>336</v>
      </c>
      <c r="C45" s="19" t="s">
        <v>914</v>
      </c>
      <c r="D45" s="19" t="s">
        <v>460</v>
      </c>
      <c r="E45" s="19" t="s">
        <v>995</v>
      </c>
      <c r="F45" s="19" t="s">
        <v>996</v>
      </c>
      <c r="G45" s="2"/>
      <c r="H45" s="2"/>
      <c r="I45" s="2"/>
    </row>
    <row r="46" customFormat="false" ht="23.85" hidden="false" customHeight="false" outlineLevel="0" collapsed="false">
      <c r="A46" s="19" t="s">
        <v>997</v>
      </c>
      <c r="B46" s="19" t="s">
        <v>340</v>
      </c>
      <c r="C46" s="19" t="s">
        <v>866</v>
      </c>
      <c r="D46" s="19" t="s">
        <v>462</v>
      </c>
      <c r="E46" s="19" t="s">
        <v>998</v>
      </c>
      <c r="F46" s="19" t="s">
        <v>999</v>
      </c>
      <c r="G46" s="2"/>
      <c r="H46" s="2"/>
      <c r="I46" s="2"/>
    </row>
    <row r="47" customFormat="false" ht="15" hidden="false" customHeight="false" outlineLevel="0" collapsed="false">
      <c r="A47" s="19" t="s">
        <v>1000</v>
      </c>
      <c r="B47" s="19" t="s">
        <v>340</v>
      </c>
      <c r="C47" s="19" t="s">
        <v>900</v>
      </c>
      <c r="D47" s="19" t="s">
        <v>464</v>
      </c>
      <c r="E47" s="19" t="s">
        <v>1001</v>
      </c>
      <c r="F47" s="19" t="s">
        <v>1002</v>
      </c>
      <c r="G47" s="2"/>
      <c r="H47" s="2"/>
      <c r="I47" s="2"/>
    </row>
    <row r="48" customFormat="false" ht="23.85" hidden="false" customHeight="false" outlineLevel="0" collapsed="false">
      <c r="A48" s="19" t="s">
        <v>1003</v>
      </c>
      <c r="B48" s="19" t="s">
        <v>340</v>
      </c>
      <c r="C48" s="19" t="s">
        <v>893</v>
      </c>
      <c r="D48" s="19" t="s">
        <v>466</v>
      </c>
      <c r="E48" s="19" t="s">
        <v>1004</v>
      </c>
      <c r="F48" s="19" t="s">
        <v>1005</v>
      </c>
      <c r="G48" s="2"/>
      <c r="H48" s="2"/>
      <c r="I48" s="2"/>
    </row>
    <row r="49" customFormat="false" ht="23.85" hidden="false" customHeight="false" outlineLevel="0" collapsed="false">
      <c r="A49" s="19" t="s">
        <v>1006</v>
      </c>
      <c r="B49" s="19" t="s">
        <v>340</v>
      </c>
      <c r="C49" s="19" t="s">
        <v>900</v>
      </c>
      <c r="D49" s="19" t="s">
        <v>468</v>
      </c>
      <c r="E49" s="19" t="s">
        <v>1007</v>
      </c>
      <c r="F49" s="19" t="s">
        <v>1008</v>
      </c>
      <c r="G49" s="2"/>
      <c r="H49" s="2"/>
      <c r="I49" s="2"/>
    </row>
    <row r="50" customFormat="false" ht="23.85" hidden="false" customHeight="false" outlineLevel="0" collapsed="false">
      <c r="A50" s="19" t="s">
        <v>1009</v>
      </c>
      <c r="B50" s="19" t="s">
        <v>345</v>
      </c>
      <c r="C50" s="19" t="s">
        <v>866</v>
      </c>
      <c r="D50" s="19" t="s">
        <v>470</v>
      </c>
      <c r="E50" s="19" t="s">
        <v>1010</v>
      </c>
      <c r="F50" s="19" t="s">
        <v>1011</v>
      </c>
      <c r="G50" s="2"/>
      <c r="H50" s="2"/>
      <c r="I50" s="2"/>
    </row>
    <row r="51" customFormat="false" ht="23.85" hidden="false" customHeight="false" outlineLevel="0" collapsed="false">
      <c r="A51" s="19" t="s">
        <v>1012</v>
      </c>
      <c r="B51" s="19" t="s">
        <v>345</v>
      </c>
      <c r="C51" s="19" t="s">
        <v>866</v>
      </c>
      <c r="D51" s="19" t="s">
        <v>472</v>
      </c>
      <c r="E51" s="19" t="s">
        <v>1013</v>
      </c>
      <c r="F51" s="19" t="s">
        <v>1014</v>
      </c>
      <c r="G51" s="2"/>
      <c r="H51" s="2"/>
      <c r="I51" s="2"/>
    </row>
    <row r="52" customFormat="false" ht="15" hidden="false" customHeight="false" outlineLevel="0" collapsed="false">
      <c r="A52" s="19" t="s">
        <v>1015</v>
      </c>
      <c r="B52" s="19" t="s">
        <v>345</v>
      </c>
      <c r="C52" s="19" t="s">
        <v>893</v>
      </c>
      <c r="D52" s="19" t="s">
        <v>474</v>
      </c>
      <c r="E52" s="19" t="s">
        <v>1016</v>
      </c>
      <c r="F52" s="19" t="s">
        <v>1017</v>
      </c>
      <c r="G52" s="2"/>
      <c r="H52" s="2"/>
      <c r="I52" s="2"/>
    </row>
    <row r="53" customFormat="false" ht="23.85" hidden="false" customHeight="false" outlineLevel="0" collapsed="false">
      <c r="A53" s="19" t="s">
        <v>1018</v>
      </c>
      <c r="B53" s="19" t="s">
        <v>349</v>
      </c>
      <c r="C53" s="19" t="s">
        <v>893</v>
      </c>
      <c r="D53" s="19" t="s">
        <v>476</v>
      </c>
      <c r="E53" s="19" t="s">
        <v>1019</v>
      </c>
      <c r="F53" s="19" t="s">
        <v>1020</v>
      </c>
      <c r="G53" s="2"/>
      <c r="H53" s="2"/>
      <c r="I53" s="2"/>
    </row>
    <row r="54" customFormat="false" ht="15" hidden="false" customHeight="false" outlineLevel="0" collapsed="false">
      <c r="A54" s="19" t="s">
        <v>1021</v>
      </c>
      <c r="B54" s="19" t="s">
        <v>349</v>
      </c>
      <c r="C54" s="19" t="s">
        <v>943</v>
      </c>
      <c r="D54" s="19" t="s">
        <v>478</v>
      </c>
      <c r="E54" s="19" t="s">
        <v>1022</v>
      </c>
      <c r="F54" s="19" t="s">
        <v>1023</v>
      </c>
      <c r="G54" s="2"/>
      <c r="H54" s="2"/>
      <c r="I54" s="2"/>
    </row>
    <row r="55" customFormat="false" ht="15" hidden="false" customHeight="false" outlineLevel="0" collapsed="false">
      <c r="A55" s="19" t="s">
        <v>1024</v>
      </c>
      <c r="B55" s="19" t="s">
        <v>349</v>
      </c>
      <c r="C55" s="19" t="s">
        <v>456</v>
      </c>
      <c r="D55" s="19" t="s">
        <v>480</v>
      </c>
      <c r="E55" s="19" t="s">
        <v>1025</v>
      </c>
      <c r="F55" s="19" t="s">
        <v>1026</v>
      </c>
      <c r="G55" s="2"/>
      <c r="H55" s="2"/>
      <c r="I55" s="2"/>
    </row>
    <row r="56" customFormat="false" ht="23.85" hidden="false" customHeight="false" outlineLevel="0" collapsed="false">
      <c r="A56" s="19" t="s">
        <v>1027</v>
      </c>
      <c r="B56" s="19" t="s">
        <v>353</v>
      </c>
      <c r="C56" s="19" t="s">
        <v>866</v>
      </c>
      <c r="D56" s="19" t="s">
        <v>482</v>
      </c>
      <c r="E56" s="19" t="s">
        <v>1028</v>
      </c>
      <c r="F56" s="19" t="s">
        <v>1029</v>
      </c>
      <c r="G56" s="2"/>
      <c r="H56" s="2"/>
      <c r="I56" s="2"/>
    </row>
    <row r="57" customFormat="false" ht="23.85" hidden="false" customHeight="false" outlineLevel="0" collapsed="false">
      <c r="A57" s="19" t="s">
        <v>1030</v>
      </c>
      <c r="B57" s="19" t="s">
        <v>353</v>
      </c>
      <c r="C57" s="19" t="s">
        <v>900</v>
      </c>
      <c r="D57" s="19" t="s">
        <v>484</v>
      </c>
      <c r="E57" s="19" t="s">
        <v>1031</v>
      </c>
      <c r="F57" s="19" t="s">
        <v>1032</v>
      </c>
      <c r="G57" s="2"/>
      <c r="H57" s="2"/>
      <c r="I57" s="2"/>
    </row>
    <row r="58" customFormat="false" ht="15" hidden="false" customHeight="false" outlineLevel="0" collapsed="false">
      <c r="A58" s="19" t="s">
        <v>1033</v>
      </c>
      <c r="B58" s="19" t="s">
        <v>353</v>
      </c>
      <c r="C58" s="19" t="s">
        <v>900</v>
      </c>
      <c r="D58" s="19" t="s">
        <v>486</v>
      </c>
      <c r="E58" s="19" t="s">
        <v>1034</v>
      </c>
      <c r="F58" s="19" t="s">
        <v>1035</v>
      </c>
      <c r="G58" s="2"/>
      <c r="H58" s="2"/>
      <c r="I58" s="2"/>
    </row>
    <row r="59" customFormat="false" ht="23.85" hidden="false" customHeight="false" outlineLevel="0" collapsed="false">
      <c r="A59" s="19" t="s">
        <v>1036</v>
      </c>
      <c r="B59" s="19" t="s">
        <v>309</v>
      </c>
      <c r="C59" s="19" t="s">
        <v>900</v>
      </c>
      <c r="D59" s="19" t="s">
        <v>488</v>
      </c>
      <c r="E59" s="19" t="s">
        <v>1037</v>
      </c>
      <c r="F59" s="19" t="s">
        <v>1038</v>
      </c>
      <c r="G59" s="2"/>
      <c r="H59" s="2"/>
      <c r="I59" s="2"/>
    </row>
    <row r="60" customFormat="false" ht="23.85" hidden="false" customHeight="false" outlineLevel="0" collapsed="false">
      <c r="A60" s="19" t="s">
        <v>1039</v>
      </c>
      <c r="B60" s="19" t="s">
        <v>260</v>
      </c>
      <c r="C60" s="19" t="s">
        <v>893</v>
      </c>
      <c r="D60" s="19" t="s">
        <v>491</v>
      </c>
      <c r="E60" s="19" t="s">
        <v>1040</v>
      </c>
      <c r="F60" s="19" t="s">
        <v>1041</v>
      </c>
      <c r="G60" s="2"/>
      <c r="H60" s="2"/>
      <c r="I60" s="2"/>
    </row>
    <row r="61" customFormat="false" ht="23.85" hidden="false" customHeight="false" outlineLevel="0" collapsed="false">
      <c r="A61" s="19" t="s">
        <v>1042</v>
      </c>
      <c r="B61" s="19" t="s">
        <v>294</v>
      </c>
      <c r="C61" s="19" t="s">
        <v>900</v>
      </c>
      <c r="D61" s="19" t="s">
        <v>493</v>
      </c>
      <c r="E61" s="19" t="s">
        <v>1043</v>
      </c>
      <c r="F61" s="19" t="s">
        <v>1044</v>
      </c>
      <c r="G61" s="2"/>
      <c r="H61" s="2"/>
      <c r="I61" s="2"/>
    </row>
    <row r="62" customFormat="false" ht="23.85" hidden="false" customHeight="false" outlineLevel="0" collapsed="false">
      <c r="A62" s="19" t="s">
        <v>1045</v>
      </c>
      <c r="B62" s="19" t="s">
        <v>331</v>
      </c>
      <c r="C62" s="19" t="s">
        <v>500</v>
      </c>
      <c r="D62" s="19" t="s">
        <v>453</v>
      </c>
      <c r="E62" s="19" t="s">
        <v>1046</v>
      </c>
      <c r="F62" s="19" t="s">
        <v>1047</v>
      </c>
      <c r="G62" s="2"/>
      <c r="H62" s="2"/>
      <c r="I62" s="2"/>
    </row>
    <row r="63" customFormat="false" ht="23.85" hidden="false" customHeight="false" outlineLevel="0" collapsed="false">
      <c r="A63" s="19" t="s">
        <v>1048</v>
      </c>
      <c r="B63" s="19" t="s">
        <v>249</v>
      </c>
      <c r="C63" s="19" t="s">
        <v>500</v>
      </c>
      <c r="D63" s="19" t="s">
        <v>495</v>
      </c>
      <c r="E63" s="19" t="s">
        <v>1049</v>
      </c>
      <c r="F63" s="19" t="s">
        <v>1050</v>
      </c>
      <c r="G63" s="2"/>
      <c r="H63" s="2"/>
      <c r="I63" s="2"/>
    </row>
    <row r="64" customFormat="false" ht="23.85" hidden="false" customHeight="false" outlineLevel="0" collapsed="false">
      <c r="A64" s="19" t="s">
        <v>1051</v>
      </c>
      <c r="B64" s="19" t="s">
        <v>249</v>
      </c>
      <c r="C64" s="19" t="s">
        <v>879</v>
      </c>
      <c r="D64" s="19" t="s">
        <v>498</v>
      </c>
      <c r="E64" s="19" t="s">
        <v>1052</v>
      </c>
      <c r="F64" s="19" t="s">
        <v>1053</v>
      </c>
      <c r="G64" s="2"/>
      <c r="H64" s="2"/>
      <c r="I64" s="2"/>
    </row>
    <row r="65" customFormat="false" ht="23.85" hidden="false" customHeight="false" outlineLevel="0" collapsed="false">
      <c r="A65" s="19" t="s">
        <v>1054</v>
      </c>
      <c r="B65" s="19" t="s">
        <v>249</v>
      </c>
      <c r="C65" s="19" t="s">
        <v>500</v>
      </c>
      <c r="D65" s="19" t="s">
        <v>500</v>
      </c>
      <c r="E65" s="19" t="s">
        <v>1055</v>
      </c>
      <c r="F65" s="19" t="s">
        <v>1056</v>
      </c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68"/>
  </cols>
  <sheetData>
    <row r="1" customFormat="false" ht="15" hidden="false" customHeight="false" outlineLevel="0" collapsed="false">
      <c r="A1" s="18" t="s">
        <v>91</v>
      </c>
      <c r="B1" s="18" t="s">
        <v>51</v>
      </c>
      <c r="C1" s="18" t="s">
        <v>851</v>
      </c>
      <c r="D1" s="18" t="s">
        <v>852</v>
      </c>
      <c r="E1" s="18" t="s">
        <v>853</v>
      </c>
      <c r="F1" s="18" t="s">
        <v>1057</v>
      </c>
      <c r="G1" s="2"/>
      <c r="H1" s="2"/>
      <c r="I1" s="2"/>
    </row>
    <row r="2" customFormat="false" ht="23.85" hidden="false" customHeight="false" outlineLevel="0" collapsed="false">
      <c r="A2" s="19" t="s">
        <v>855</v>
      </c>
      <c r="B2" s="19" t="s">
        <v>249</v>
      </c>
      <c r="C2" s="19" t="s">
        <v>856</v>
      </c>
      <c r="D2" s="19" t="s">
        <v>364</v>
      </c>
      <c r="E2" s="19" t="s">
        <v>857</v>
      </c>
      <c r="F2" s="19" t="s">
        <v>1058</v>
      </c>
      <c r="G2" s="2"/>
      <c r="H2" s="2"/>
      <c r="I2" s="2"/>
    </row>
    <row r="3" customFormat="false" ht="23.85" hidden="false" customHeight="false" outlineLevel="0" collapsed="false">
      <c r="A3" s="19" t="s">
        <v>859</v>
      </c>
      <c r="B3" s="19" t="s">
        <v>249</v>
      </c>
      <c r="C3" s="19" t="s">
        <v>856</v>
      </c>
      <c r="D3" s="19" t="s">
        <v>367</v>
      </c>
      <c r="E3" s="19" t="s">
        <v>860</v>
      </c>
      <c r="F3" s="19" t="s">
        <v>1059</v>
      </c>
      <c r="G3" s="2"/>
      <c r="H3" s="2"/>
      <c r="I3" s="2"/>
    </row>
    <row r="4" customFormat="false" ht="23.85" hidden="false" customHeight="false" outlineLevel="0" collapsed="false">
      <c r="A4" s="19" t="s">
        <v>862</v>
      </c>
      <c r="B4" s="19" t="s">
        <v>249</v>
      </c>
      <c r="C4" s="19" t="s">
        <v>856</v>
      </c>
      <c r="D4" s="19" t="s">
        <v>369</v>
      </c>
      <c r="E4" s="19" t="s">
        <v>863</v>
      </c>
      <c r="F4" s="19" t="s">
        <v>1060</v>
      </c>
      <c r="G4" s="2"/>
      <c r="H4" s="2"/>
      <c r="I4" s="2"/>
    </row>
    <row r="5" customFormat="false" ht="23.85" hidden="false" customHeight="false" outlineLevel="0" collapsed="false">
      <c r="A5" s="19" t="s">
        <v>865</v>
      </c>
      <c r="B5" s="19" t="s">
        <v>249</v>
      </c>
      <c r="C5" s="19" t="s">
        <v>866</v>
      </c>
      <c r="D5" s="19" t="s">
        <v>371</v>
      </c>
      <c r="E5" s="19" t="s">
        <v>867</v>
      </c>
      <c r="F5" s="19" t="s">
        <v>1061</v>
      </c>
      <c r="G5" s="2"/>
      <c r="H5" s="2"/>
      <c r="I5" s="2"/>
    </row>
    <row r="6" customFormat="false" ht="23.85" hidden="false" customHeight="false" outlineLevel="0" collapsed="false">
      <c r="A6" s="19" t="s">
        <v>869</v>
      </c>
      <c r="B6" s="19" t="s">
        <v>249</v>
      </c>
      <c r="C6" s="19" t="s">
        <v>500</v>
      </c>
      <c r="D6" s="19" t="s">
        <v>373</v>
      </c>
      <c r="E6" s="19" t="s">
        <v>870</v>
      </c>
      <c r="F6" s="19" t="s">
        <v>1062</v>
      </c>
      <c r="G6" s="2"/>
      <c r="H6" s="2"/>
      <c r="I6" s="2"/>
    </row>
    <row r="7" customFormat="false" ht="23.85" hidden="false" customHeight="false" outlineLevel="0" collapsed="false">
      <c r="A7" s="19" t="s">
        <v>872</v>
      </c>
      <c r="B7" s="19" t="s">
        <v>249</v>
      </c>
      <c r="C7" s="19" t="s">
        <v>866</v>
      </c>
      <c r="D7" s="19" t="s">
        <v>376</v>
      </c>
      <c r="E7" s="19" t="s">
        <v>873</v>
      </c>
      <c r="F7" s="19" t="s">
        <v>1063</v>
      </c>
      <c r="G7" s="2"/>
      <c r="H7" s="2"/>
      <c r="I7" s="2"/>
    </row>
    <row r="8" customFormat="false" ht="23.85" hidden="false" customHeight="false" outlineLevel="0" collapsed="false">
      <c r="A8" s="19" t="s">
        <v>875</v>
      </c>
      <c r="B8" s="19" t="s">
        <v>249</v>
      </c>
      <c r="C8" s="19" t="s">
        <v>866</v>
      </c>
      <c r="D8" s="19" t="s">
        <v>378</v>
      </c>
      <c r="E8" s="19" t="s">
        <v>876</v>
      </c>
      <c r="F8" s="19" t="s">
        <v>1064</v>
      </c>
      <c r="G8" s="2"/>
      <c r="H8" s="2"/>
      <c r="I8" s="2"/>
    </row>
    <row r="9" customFormat="false" ht="23.85" hidden="false" customHeight="false" outlineLevel="0" collapsed="false">
      <c r="A9" s="19" t="s">
        <v>878</v>
      </c>
      <c r="B9" s="19" t="s">
        <v>249</v>
      </c>
      <c r="C9" s="19" t="s">
        <v>879</v>
      </c>
      <c r="D9" s="19" t="s">
        <v>380</v>
      </c>
      <c r="E9" s="19" t="s">
        <v>880</v>
      </c>
      <c r="F9" s="19" t="s">
        <v>1065</v>
      </c>
      <c r="G9" s="2"/>
      <c r="H9" s="2"/>
      <c r="I9" s="2"/>
    </row>
    <row r="10" customFormat="false" ht="23.85" hidden="false" customHeight="false" outlineLevel="0" collapsed="false">
      <c r="A10" s="19" t="s">
        <v>882</v>
      </c>
      <c r="B10" s="19" t="s">
        <v>249</v>
      </c>
      <c r="C10" s="19" t="s">
        <v>883</v>
      </c>
      <c r="D10" s="19" t="s">
        <v>382</v>
      </c>
      <c r="E10" s="19" t="s">
        <v>884</v>
      </c>
      <c r="F10" s="19" t="s">
        <v>1066</v>
      </c>
      <c r="G10" s="2"/>
      <c r="H10" s="2"/>
      <c r="I10" s="2"/>
    </row>
    <row r="11" customFormat="false" ht="23.85" hidden="false" customHeight="false" outlineLevel="0" collapsed="false">
      <c r="A11" s="19" t="s">
        <v>886</v>
      </c>
      <c r="B11" s="19" t="s">
        <v>260</v>
      </c>
      <c r="C11" s="19" t="s">
        <v>883</v>
      </c>
      <c r="D11" s="19" t="s">
        <v>384</v>
      </c>
      <c r="E11" s="19" t="s">
        <v>887</v>
      </c>
      <c r="F11" s="19" t="s">
        <v>1067</v>
      </c>
      <c r="G11" s="2"/>
      <c r="H11" s="2"/>
      <c r="I11" s="2"/>
    </row>
    <row r="12" customFormat="false" ht="23.85" hidden="false" customHeight="false" outlineLevel="0" collapsed="false">
      <c r="A12" s="19" t="s">
        <v>889</v>
      </c>
      <c r="B12" s="19" t="s">
        <v>260</v>
      </c>
      <c r="C12" s="19" t="s">
        <v>866</v>
      </c>
      <c r="D12" s="19" t="s">
        <v>387</v>
      </c>
      <c r="E12" s="19" t="s">
        <v>890</v>
      </c>
      <c r="F12" s="19" t="s">
        <v>1068</v>
      </c>
      <c r="G12" s="2"/>
      <c r="H12" s="2"/>
      <c r="I12" s="2"/>
    </row>
    <row r="13" customFormat="false" ht="23.85" hidden="false" customHeight="false" outlineLevel="0" collapsed="false">
      <c r="A13" s="19" t="s">
        <v>892</v>
      </c>
      <c r="B13" s="19" t="s">
        <v>260</v>
      </c>
      <c r="C13" s="19" t="s">
        <v>893</v>
      </c>
      <c r="D13" s="19" t="s">
        <v>389</v>
      </c>
      <c r="E13" s="19" t="s">
        <v>894</v>
      </c>
      <c r="F13" s="19" t="s">
        <v>1069</v>
      </c>
      <c r="G13" s="2"/>
      <c r="H13" s="2"/>
      <c r="I13" s="2"/>
    </row>
    <row r="14" customFormat="false" ht="23.85" hidden="false" customHeight="false" outlineLevel="0" collapsed="false">
      <c r="A14" s="19" t="s">
        <v>896</v>
      </c>
      <c r="B14" s="19" t="s">
        <v>260</v>
      </c>
      <c r="C14" s="19" t="s">
        <v>500</v>
      </c>
      <c r="D14" s="19" t="s">
        <v>391</v>
      </c>
      <c r="E14" s="19" t="s">
        <v>897</v>
      </c>
      <c r="F14" s="19" t="s">
        <v>1070</v>
      </c>
      <c r="G14" s="2"/>
      <c r="H14" s="2"/>
      <c r="I14" s="2"/>
    </row>
    <row r="15" customFormat="false" ht="23.85" hidden="false" customHeight="false" outlineLevel="0" collapsed="false">
      <c r="A15" s="19" t="s">
        <v>899</v>
      </c>
      <c r="B15" s="19" t="s">
        <v>260</v>
      </c>
      <c r="C15" s="19" t="s">
        <v>900</v>
      </c>
      <c r="D15" s="19" t="s">
        <v>393</v>
      </c>
      <c r="E15" s="19" t="s">
        <v>901</v>
      </c>
      <c r="F15" s="19" t="s">
        <v>1071</v>
      </c>
      <c r="G15" s="2"/>
      <c r="H15" s="2"/>
      <c r="I15" s="2"/>
    </row>
    <row r="16" customFormat="false" ht="23.85" hidden="false" customHeight="false" outlineLevel="0" collapsed="false">
      <c r="A16" s="19" t="s">
        <v>903</v>
      </c>
      <c r="B16" s="19" t="s">
        <v>260</v>
      </c>
      <c r="C16" s="19" t="s">
        <v>893</v>
      </c>
      <c r="D16" s="19" t="s">
        <v>395</v>
      </c>
      <c r="E16" s="19" t="s">
        <v>904</v>
      </c>
      <c r="F16" s="19" t="s">
        <v>1072</v>
      </c>
      <c r="G16" s="2"/>
      <c r="H16" s="2"/>
      <c r="I16" s="2"/>
    </row>
    <row r="17" customFormat="false" ht="23.85" hidden="false" customHeight="false" outlineLevel="0" collapsed="false">
      <c r="A17" s="19" t="s">
        <v>906</v>
      </c>
      <c r="B17" s="19" t="s">
        <v>260</v>
      </c>
      <c r="C17" s="19" t="s">
        <v>148</v>
      </c>
      <c r="D17" s="19" t="s">
        <v>148</v>
      </c>
      <c r="E17" s="19" t="s">
        <v>907</v>
      </c>
      <c r="F17" s="19" t="s">
        <v>1073</v>
      </c>
      <c r="G17" s="2"/>
      <c r="H17" s="2"/>
      <c r="I17" s="2"/>
    </row>
    <row r="18" customFormat="false" ht="23.85" hidden="false" customHeight="false" outlineLevel="0" collapsed="false">
      <c r="A18" s="19" t="s">
        <v>909</v>
      </c>
      <c r="B18" s="19" t="s">
        <v>260</v>
      </c>
      <c r="C18" s="19" t="s">
        <v>910</v>
      </c>
      <c r="D18" s="19" t="s">
        <v>398</v>
      </c>
      <c r="E18" s="19" t="s">
        <v>911</v>
      </c>
      <c r="F18" s="19" t="s">
        <v>1074</v>
      </c>
      <c r="G18" s="2"/>
      <c r="H18" s="2"/>
      <c r="I18" s="2"/>
    </row>
    <row r="19" customFormat="false" ht="23.85" hidden="false" customHeight="false" outlineLevel="0" collapsed="false">
      <c r="A19" s="19" t="s">
        <v>913</v>
      </c>
      <c r="B19" s="19" t="s">
        <v>271</v>
      </c>
      <c r="C19" s="19" t="s">
        <v>914</v>
      </c>
      <c r="D19" s="19" t="s">
        <v>400</v>
      </c>
      <c r="E19" s="19" t="s">
        <v>915</v>
      </c>
      <c r="F19" s="19" t="s">
        <v>1075</v>
      </c>
      <c r="G19" s="2"/>
      <c r="H19" s="2"/>
      <c r="I19" s="2"/>
    </row>
    <row r="20" customFormat="false" ht="23.85" hidden="false" customHeight="false" outlineLevel="0" collapsed="false">
      <c r="A20" s="19" t="s">
        <v>917</v>
      </c>
      <c r="B20" s="19" t="s">
        <v>271</v>
      </c>
      <c r="C20" s="19" t="s">
        <v>900</v>
      </c>
      <c r="D20" s="19" t="s">
        <v>403</v>
      </c>
      <c r="E20" s="19" t="s">
        <v>918</v>
      </c>
      <c r="F20" s="19" t="s">
        <v>1076</v>
      </c>
      <c r="G20" s="2"/>
      <c r="H20" s="2"/>
      <c r="I20" s="2"/>
    </row>
    <row r="21" customFormat="false" ht="15" hidden="false" customHeight="false" outlineLevel="0" collapsed="false">
      <c r="A21" s="19" t="s">
        <v>920</v>
      </c>
      <c r="B21" s="19" t="s">
        <v>271</v>
      </c>
      <c r="C21" s="19" t="s">
        <v>900</v>
      </c>
      <c r="D21" s="19" t="s">
        <v>405</v>
      </c>
      <c r="E21" s="19" t="s">
        <v>921</v>
      </c>
      <c r="F21" s="19" t="s">
        <v>1077</v>
      </c>
      <c r="G21" s="2"/>
      <c r="H21" s="2"/>
      <c r="I21" s="2"/>
    </row>
    <row r="22" customFormat="false" ht="23.85" hidden="false" customHeight="false" outlineLevel="0" collapsed="false">
      <c r="A22" s="19" t="s">
        <v>923</v>
      </c>
      <c r="B22" s="19" t="s">
        <v>271</v>
      </c>
      <c r="C22" s="19" t="s">
        <v>900</v>
      </c>
      <c r="D22" s="19" t="s">
        <v>407</v>
      </c>
      <c r="E22" s="19" t="s">
        <v>924</v>
      </c>
      <c r="F22" s="19" t="s">
        <v>1078</v>
      </c>
      <c r="G22" s="2"/>
      <c r="H22" s="2"/>
      <c r="I22" s="2"/>
    </row>
    <row r="23" customFormat="false" ht="23.85" hidden="false" customHeight="false" outlineLevel="0" collapsed="false">
      <c r="A23" s="19" t="s">
        <v>926</v>
      </c>
      <c r="B23" s="19" t="s">
        <v>271</v>
      </c>
      <c r="C23" s="19" t="s">
        <v>900</v>
      </c>
      <c r="D23" s="19" t="s">
        <v>248</v>
      </c>
      <c r="E23" s="19" t="s">
        <v>927</v>
      </c>
      <c r="F23" s="19" t="s">
        <v>1079</v>
      </c>
      <c r="G23" s="2"/>
      <c r="H23" s="2"/>
      <c r="I23" s="2"/>
    </row>
    <row r="24" customFormat="false" ht="23.85" hidden="false" customHeight="false" outlineLevel="0" collapsed="false">
      <c r="A24" s="19" t="s">
        <v>929</v>
      </c>
      <c r="B24" s="19" t="s">
        <v>271</v>
      </c>
      <c r="C24" s="19" t="s">
        <v>914</v>
      </c>
      <c r="D24" s="19" t="s">
        <v>410</v>
      </c>
      <c r="E24" s="19" t="s">
        <v>930</v>
      </c>
      <c r="F24" s="19" t="s">
        <v>1080</v>
      </c>
      <c r="G24" s="2"/>
      <c r="H24" s="2"/>
      <c r="I24" s="2"/>
    </row>
    <row r="25" customFormat="false" ht="23.85" hidden="false" customHeight="false" outlineLevel="0" collapsed="false">
      <c r="A25" s="19" t="s">
        <v>932</v>
      </c>
      <c r="B25" s="19" t="s">
        <v>271</v>
      </c>
      <c r="C25" s="19" t="s">
        <v>893</v>
      </c>
      <c r="D25" s="19" t="s">
        <v>412</v>
      </c>
      <c r="E25" s="19" t="s">
        <v>933</v>
      </c>
      <c r="F25" s="19" t="s">
        <v>1081</v>
      </c>
      <c r="G25" s="2"/>
      <c r="H25" s="2"/>
      <c r="I25" s="2"/>
    </row>
    <row r="26" customFormat="false" ht="23.85" hidden="false" customHeight="false" outlineLevel="0" collapsed="false">
      <c r="A26" s="19" t="s">
        <v>935</v>
      </c>
      <c r="B26" s="19" t="s">
        <v>271</v>
      </c>
      <c r="C26" s="19" t="s">
        <v>936</v>
      </c>
      <c r="D26" s="19" t="s">
        <v>414</v>
      </c>
      <c r="E26" s="19" t="s">
        <v>937</v>
      </c>
      <c r="F26" s="19" t="s">
        <v>1082</v>
      </c>
      <c r="G26" s="2"/>
      <c r="H26" s="2"/>
      <c r="I26" s="2"/>
    </row>
    <row r="27" customFormat="false" ht="23.85" hidden="false" customHeight="false" outlineLevel="0" collapsed="false">
      <c r="A27" s="19" t="s">
        <v>939</v>
      </c>
      <c r="B27" s="19" t="s">
        <v>271</v>
      </c>
      <c r="C27" s="19" t="s">
        <v>914</v>
      </c>
      <c r="D27" s="19" t="s">
        <v>291</v>
      </c>
      <c r="E27" s="19" t="s">
        <v>940</v>
      </c>
      <c r="F27" s="19" t="s">
        <v>1083</v>
      </c>
      <c r="G27" s="2"/>
      <c r="H27" s="2"/>
      <c r="I27" s="2"/>
    </row>
    <row r="28" customFormat="false" ht="23.85" hidden="false" customHeight="false" outlineLevel="0" collapsed="false">
      <c r="A28" s="19" t="s">
        <v>942</v>
      </c>
      <c r="B28" s="19" t="s">
        <v>294</v>
      </c>
      <c r="C28" s="19" t="s">
        <v>943</v>
      </c>
      <c r="D28" s="19" t="s">
        <v>417</v>
      </c>
      <c r="E28" s="19" t="s">
        <v>944</v>
      </c>
      <c r="F28" s="19" t="s">
        <v>1084</v>
      </c>
      <c r="G28" s="2"/>
      <c r="H28" s="2"/>
      <c r="I28" s="2"/>
    </row>
    <row r="29" customFormat="false" ht="23.85" hidden="false" customHeight="false" outlineLevel="0" collapsed="false">
      <c r="A29" s="19" t="s">
        <v>946</v>
      </c>
      <c r="B29" s="19" t="s">
        <v>294</v>
      </c>
      <c r="C29" s="19" t="s">
        <v>893</v>
      </c>
      <c r="D29" s="19" t="s">
        <v>420</v>
      </c>
      <c r="E29" s="19" t="s">
        <v>947</v>
      </c>
      <c r="F29" s="19" t="s">
        <v>1085</v>
      </c>
      <c r="G29" s="2"/>
      <c r="H29" s="2"/>
      <c r="I29" s="2"/>
    </row>
    <row r="30" customFormat="false" ht="23.85" hidden="false" customHeight="false" outlineLevel="0" collapsed="false">
      <c r="A30" s="19" t="s">
        <v>949</v>
      </c>
      <c r="B30" s="19" t="s">
        <v>294</v>
      </c>
      <c r="C30" s="19" t="s">
        <v>900</v>
      </c>
      <c r="D30" s="19" t="s">
        <v>422</v>
      </c>
      <c r="E30" s="19" t="s">
        <v>950</v>
      </c>
      <c r="F30" s="19" t="s">
        <v>1086</v>
      </c>
      <c r="G30" s="2"/>
      <c r="H30" s="2"/>
      <c r="I30" s="2"/>
    </row>
    <row r="31" customFormat="false" ht="23.85" hidden="false" customHeight="false" outlineLevel="0" collapsed="false">
      <c r="A31" s="19" t="s">
        <v>952</v>
      </c>
      <c r="B31" s="19" t="s">
        <v>309</v>
      </c>
      <c r="C31" s="19" t="s">
        <v>936</v>
      </c>
      <c r="D31" s="19" t="s">
        <v>424</v>
      </c>
      <c r="E31" s="19" t="s">
        <v>953</v>
      </c>
      <c r="F31" s="19" t="s">
        <v>1087</v>
      </c>
      <c r="G31" s="2"/>
      <c r="H31" s="2"/>
      <c r="I31" s="2"/>
    </row>
    <row r="32" customFormat="false" ht="23.85" hidden="false" customHeight="false" outlineLevel="0" collapsed="false">
      <c r="A32" s="19" t="s">
        <v>955</v>
      </c>
      <c r="B32" s="19" t="s">
        <v>309</v>
      </c>
      <c r="C32" s="19" t="s">
        <v>936</v>
      </c>
      <c r="D32" s="19" t="s">
        <v>414</v>
      </c>
      <c r="E32" s="19" t="s">
        <v>956</v>
      </c>
      <c r="F32" s="19" t="s">
        <v>1088</v>
      </c>
      <c r="G32" s="2"/>
      <c r="H32" s="2"/>
      <c r="I32" s="2"/>
    </row>
    <row r="33" customFormat="false" ht="23.85" hidden="false" customHeight="false" outlineLevel="0" collapsed="false">
      <c r="A33" s="19" t="s">
        <v>958</v>
      </c>
      <c r="B33" s="19" t="s">
        <v>309</v>
      </c>
      <c r="C33" s="19" t="s">
        <v>900</v>
      </c>
      <c r="D33" s="19" t="s">
        <v>428</v>
      </c>
      <c r="E33" s="19" t="s">
        <v>959</v>
      </c>
      <c r="F33" s="19" t="s">
        <v>1089</v>
      </c>
      <c r="G33" s="2"/>
      <c r="H33" s="2"/>
      <c r="I33" s="2"/>
    </row>
    <row r="34" customFormat="false" ht="23.85" hidden="false" customHeight="false" outlineLevel="0" collapsed="false">
      <c r="A34" s="19" t="s">
        <v>961</v>
      </c>
      <c r="B34" s="19" t="s">
        <v>309</v>
      </c>
      <c r="C34" s="19" t="s">
        <v>856</v>
      </c>
      <c r="D34" s="19" t="s">
        <v>430</v>
      </c>
      <c r="E34" s="19" t="s">
        <v>962</v>
      </c>
      <c r="F34" s="19" t="s">
        <v>1090</v>
      </c>
      <c r="G34" s="2"/>
      <c r="H34" s="2"/>
      <c r="I34" s="2"/>
    </row>
    <row r="35" customFormat="false" ht="23.85" hidden="false" customHeight="false" outlineLevel="0" collapsed="false">
      <c r="A35" s="19" t="s">
        <v>964</v>
      </c>
      <c r="B35" s="19" t="s">
        <v>309</v>
      </c>
      <c r="C35" s="19" t="s">
        <v>910</v>
      </c>
      <c r="D35" s="19" t="s">
        <v>432</v>
      </c>
      <c r="E35" s="19" t="s">
        <v>965</v>
      </c>
      <c r="F35" s="19" t="s">
        <v>1091</v>
      </c>
      <c r="G35" s="2"/>
      <c r="H35" s="2"/>
      <c r="I35" s="2"/>
    </row>
    <row r="36" customFormat="false" ht="23.85" hidden="false" customHeight="false" outlineLevel="0" collapsed="false">
      <c r="A36" s="19" t="s">
        <v>967</v>
      </c>
      <c r="B36" s="19" t="s">
        <v>322</v>
      </c>
      <c r="C36" s="19" t="s">
        <v>943</v>
      </c>
      <c r="D36" s="19" t="s">
        <v>434</v>
      </c>
      <c r="E36" s="19" t="s">
        <v>968</v>
      </c>
      <c r="F36" s="19" t="s">
        <v>1092</v>
      </c>
      <c r="G36" s="2"/>
      <c r="H36" s="2"/>
      <c r="I36" s="2"/>
    </row>
    <row r="37" customFormat="false" ht="23.85" hidden="false" customHeight="false" outlineLevel="0" collapsed="false">
      <c r="A37" s="19" t="s">
        <v>970</v>
      </c>
      <c r="B37" s="19" t="s">
        <v>322</v>
      </c>
      <c r="C37" s="19" t="s">
        <v>900</v>
      </c>
      <c r="D37" s="19" t="s">
        <v>437</v>
      </c>
      <c r="E37" s="19" t="s">
        <v>971</v>
      </c>
      <c r="F37" s="19" t="s">
        <v>1093</v>
      </c>
      <c r="G37" s="2"/>
      <c r="H37" s="2"/>
      <c r="I37" s="2"/>
    </row>
    <row r="38" customFormat="false" ht="23.85" hidden="false" customHeight="false" outlineLevel="0" collapsed="false">
      <c r="A38" s="19" t="s">
        <v>973</v>
      </c>
      <c r="B38" s="19" t="s">
        <v>322</v>
      </c>
      <c r="C38" s="19" t="s">
        <v>914</v>
      </c>
      <c r="D38" s="19" t="s">
        <v>439</v>
      </c>
      <c r="E38" s="19" t="s">
        <v>974</v>
      </c>
      <c r="F38" s="19" t="s">
        <v>1094</v>
      </c>
      <c r="G38" s="2"/>
      <c r="H38" s="2"/>
      <c r="I38" s="2"/>
    </row>
    <row r="39" customFormat="false" ht="23.85" hidden="false" customHeight="false" outlineLevel="0" collapsed="false">
      <c r="A39" s="19" t="s">
        <v>976</v>
      </c>
      <c r="B39" s="19" t="s">
        <v>331</v>
      </c>
      <c r="C39" s="19" t="s">
        <v>500</v>
      </c>
      <c r="D39" s="19" t="s">
        <v>444</v>
      </c>
      <c r="E39" s="19" t="s">
        <v>977</v>
      </c>
      <c r="F39" s="19" t="s">
        <v>1095</v>
      </c>
      <c r="G39" s="2"/>
      <c r="H39" s="2"/>
      <c r="I39" s="2"/>
    </row>
    <row r="40" customFormat="false" ht="23.85" hidden="false" customHeight="false" outlineLevel="0" collapsed="false">
      <c r="A40" s="19" t="s">
        <v>979</v>
      </c>
      <c r="B40" s="19" t="s">
        <v>331</v>
      </c>
      <c r="C40" s="19" t="s">
        <v>500</v>
      </c>
      <c r="D40" s="19" t="s">
        <v>447</v>
      </c>
      <c r="E40" s="19" t="s">
        <v>980</v>
      </c>
      <c r="F40" s="19" t="s">
        <v>1096</v>
      </c>
      <c r="G40" s="2"/>
      <c r="H40" s="2"/>
      <c r="I40" s="2"/>
    </row>
    <row r="41" customFormat="false" ht="23.85" hidden="false" customHeight="false" outlineLevel="0" collapsed="false">
      <c r="A41" s="19" t="s">
        <v>982</v>
      </c>
      <c r="B41" s="19" t="s">
        <v>331</v>
      </c>
      <c r="C41" s="19" t="s">
        <v>900</v>
      </c>
      <c r="D41" s="19" t="s">
        <v>449</v>
      </c>
      <c r="E41" s="19" t="s">
        <v>983</v>
      </c>
      <c r="F41" s="19" t="s">
        <v>1097</v>
      </c>
      <c r="G41" s="2"/>
      <c r="H41" s="2"/>
      <c r="I41" s="2"/>
    </row>
    <row r="42" customFormat="false" ht="23.85" hidden="false" customHeight="false" outlineLevel="0" collapsed="false">
      <c r="A42" s="19" t="s">
        <v>985</v>
      </c>
      <c r="B42" s="19" t="s">
        <v>331</v>
      </c>
      <c r="C42" s="19" t="s">
        <v>900</v>
      </c>
      <c r="D42" s="19" t="s">
        <v>451</v>
      </c>
      <c r="E42" s="19" t="s">
        <v>986</v>
      </c>
      <c r="F42" s="19" t="s">
        <v>1098</v>
      </c>
      <c r="G42" s="2"/>
      <c r="H42" s="2"/>
      <c r="I42" s="2"/>
    </row>
    <row r="43" customFormat="false" ht="23.85" hidden="false" customHeight="false" outlineLevel="0" collapsed="false">
      <c r="A43" s="19" t="s">
        <v>988</v>
      </c>
      <c r="B43" s="19" t="s">
        <v>336</v>
      </c>
      <c r="C43" s="19" t="s">
        <v>456</v>
      </c>
      <c r="D43" s="19" t="s">
        <v>456</v>
      </c>
      <c r="E43" s="19" t="s">
        <v>989</v>
      </c>
      <c r="F43" s="19" t="s">
        <v>1099</v>
      </c>
      <c r="G43" s="2"/>
      <c r="H43" s="2"/>
      <c r="I43" s="2"/>
    </row>
    <row r="44" customFormat="false" ht="15" hidden="false" customHeight="false" outlineLevel="0" collapsed="false">
      <c r="A44" s="19" t="s">
        <v>991</v>
      </c>
      <c r="B44" s="19" t="s">
        <v>336</v>
      </c>
      <c r="C44" s="19" t="s">
        <v>936</v>
      </c>
      <c r="D44" s="19" t="s">
        <v>458</v>
      </c>
      <c r="E44" s="19" t="s">
        <v>992</v>
      </c>
      <c r="F44" s="19" t="s">
        <v>1100</v>
      </c>
      <c r="G44" s="2"/>
      <c r="H44" s="2"/>
      <c r="I44" s="2"/>
    </row>
    <row r="45" customFormat="false" ht="23.85" hidden="false" customHeight="false" outlineLevel="0" collapsed="false">
      <c r="A45" s="19" t="s">
        <v>994</v>
      </c>
      <c r="B45" s="19" t="s">
        <v>336</v>
      </c>
      <c r="C45" s="19" t="s">
        <v>914</v>
      </c>
      <c r="D45" s="19" t="s">
        <v>460</v>
      </c>
      <c r="E45" s="19" t="s">
        <v>995</v>
      </c>
      <c r="F45" s="19" t="s">
        <v>1101</v>
      </c>
      <c r="G45" s="2"/>
      <c r="H45" s="2"/>
      <c r="I45" s="2"/>
    </row>
    <row r="46" customFormat="false" ht="23.85" hidden="false" customHeight="false" outlineLevel="0" collapsed="false">
      <c r="A46" s="19" t="s">
        <v>997</v>
      </c>
      <c r="B46" s="19" t="s">
        <v>340</v>
      </c>
      <c r="C46" s="19" t="s">
        <v>866</v>
      </c>
      <c r="D46" s="19" t="s">
        <v>462</v>
      </c>
      <c r="E46" s="19" t="s">
        <v>998</v>
      </c>
      <c r="F46" s="19" t="s">
        <v>1102</v>
      </c>
      <c r="G46" s="2"/>
      <c r="H46" s="2"/>
      <c r="I46" s="2"/>
    </row>
    <row r="47" customFormat="false" ht="23.85" hidden="false" customHeight="false" outlineLevel="0" collapsed="false">
      <c r="A47" s="19" t="s">
        <v>1000</v>
      </c>
      <c r="B47" s="19" t="s">
        <v>340</v>
      </c>
      <c r="C47" s="19" t="s">
        <v>900</v>
      </c>
      <c r="D47" s="19" t="s">
        <v>464</v>
      </c>
      <c r="E47" s="19" t="s">
        <v>1001</v>
      </c>
      <c r="F47" s="19" t="s">
        <v>1103</v>
      </c>
      <c r="G47" s="2"/>
      <c r="H47" s="2"/>
      <c r="I47" s="2"/>
    </row>
    <row r="48" customFormat="false" ht="23.85" hidden="false" customHeight="false" outlineLevel="0" collapsed="false">
      <c r="A48" s="19" t="s">
        <v>1003</v>
      </c>
      <c r="B48" s="19" t="s">
        <v>340</v>
      </c>
      <c r="C48" s="19" t="s">
        <v>893</v>
      </c>
      <c r="D48" s="19" t="s">
        <v>466</v>
      </c>
      <c r="E48" s="19" t="s">
        <v>1004</v>
      </c>
      <c r="F48" s="19" t="s">
        <v>1104</v>
      </c>
      <c r="G48" s="2"/>
      <c r="H48" s="2"/>
      <c r="I48" s="2"/>
    </row>
    <row r="49" customFormat="false" ht="23.85" hidden="false" customHeight="false" outlineLevel="0" collapsed="false">
      <c r="A49" s="19" t="s">
        <v>1006</v>
      </c>
      <c r="B49" s="19" t="s">
        <v>340</v>
      </c>
      <c r="C49" s="19" t="s">
        <v>900</v>
      </c>
      <c r="D49" s="19" t="s">
        <v>468</v>
      </c>
      <c r="E49" s="19" t="s">
        <v>1007</v>
      </c>
      <c r="F49" s="19" t="s">
        <v>1105</v>
      </c>
      <c r="G49" s="2"/>
      <c r="H49" s="2"/>
      <c r="I49" s="2"/>
    </row>
    <row r="50" customFormat="false" ht="15" hidden="false" customHeight="false" outlineLevel="0" collapsed="false">
      <c r="A50" s="19" t="s">
        <v>1009</v>
      </c>
      <c r="B50" s="19" t="s">
        <v>345</v>
      </c>
      <c r="C50" s="19" t="s">
        <v>866</v>
      </c>
      <c r="D50" s="19" t="s">
        <v>470</v>
      </c>
      <c r="E50" s="19" t="s">
        <v>1010</v>
      </c>
      <c r="F50" s="19" t="s">
        <v>1106</v>
      </c>
      <c r="G50" s="2"/>
      <c r="H50" s="2"/>
      <c r="I50" s="2"/>
    </row>
    <row r="51" customFormat="false" ht="23.85" hidden="false" customHeight="false" outlineLevel="0" collapsed="false">
      <c r="A51" s="19" t="s">
        <v>1012</v>
      </c>
      <c r="B51" s="19" t="s">
        <v>345</v>
      </c>
      <c r="C51" s="19" t="s">
        <v>866</v>
      </c>
      <c r="D51" s="19" t="s">
        <v>472</v>
      </c>
      <c r="E51" s="19" t="s">
        <v>1013</v>
      </c>
      <c r="F51" s="19" t="s">
        <v>1107</v>
      </c>
      <c r="G51" s="2"/>
      <c r="H51" s="2"/>
      <c r="I51" s="2"/>
    </row>
    <row r="52" customFormat="false" ht="15" hidden="false" customHeight="false" outlineLevel="0" collapsed="false">
      <c r="A52" s="19" t="s">
        <v>1015</v>
      </c>
      <c r="B52" s="19" t="s">
        <v>345</v>
      </c>
      <c r="C52" s="19" t="s">
        <v>893</v>
      </c>
      <c r="D52" s="19" t="s">
        <v>474</v>
      </c>
      <c r="E52" s="19" t="s">
        <v>1016</v>
      </c>
      <c r="F52" s="19" t="s">
        <v>1108</v>
      </c>
      <c r="G52" s="2"/>
      <c r="H52" s="2"/>
      <c r="I52" s="2"/>
    </row>
    <row r="53" customFormat="false" ht="15" hidden="false" customHeight="false" outlineLevel="0" collapsed="false">
      <c r="A53" s="19" t="s">
        <v>1018</v>
      </c>
      <c r="B53" s="19" t="s">
        <v>349</v>
      </c>
      <c r="C53" s="19" t="s">
        <v>893</v>
      </c>
      <c r="D53" s="19" t="s">
        <v>476</v>
      </c>
      <c r="E53" s="19" t="s">
        <v>1019</v>
      </c>
      <c r="F53" s="19" t="s">
        <v>1109</v>
      </c>
      <c r="G53" s="2"/>
      <c r="H53" s="2"/>
      <c r="I53" s="2"/>
    </row>
    <row r="54" customFormat="false" ht="23.85" hidden="false" customHeight="false" outlineLevel="0" collapsed="false">
      <c r="A54" s="19" t="s">
        <v>1021</v>
      </c>
      <c r="B54" s="19" t="s">
        <v>349</v>
      </c>
      <c r="C54" s="19" t="s">
        <v>943</v>
      </c>
      <c r="D54" s="19" t="s">
        <v>478</v>
      </c>
      <c r="E54" s="19" t="s">
        <v>1022</v>
      </c>
      <c r="F54" s="19" t="s">
        <v>1110</v>
      </c>
      <c r="G54" s="2"/>
      <c r="H54" s="2"/>
      <c r="I54" s="2"/>
    </row>
    <row r="55" customFormat="false" ht="23.85" hidden="false" customHeight="false" outlineLevel="0" collapsed="false">
      <c r="A55" s="19" t="s">
        <v>1024</v>
      </c>
      <c r="B55" s="19" t="s">
        <v>349</v>
      </c>
      <c r="C55" s="19" t="s">
        <v>456</v>
      </c>
      <c r="D55" s="19" t="s">
        <v>480</v>
      </c>
      <c r="E55" s="19" t="s">
        <v>1025</v>
      </c>
      <c r="F55" s="19" t="s">
        <v>1111</v>
      </c>
      <c r="G55" s="2"/>
      <c r="H55" s="2"/>
      <c r="I55" s="2"/>
    </row>
    <row r="56" customFormat="false" ht="23.85" hidden="false" customHeight="false" outlineLevel="0" collapsed="false">
      <c r="A56" s="19" t="s">
        <v>1027</v>
      </c>
      <c r="B56" s="19" t="s">
        <v>353</v>
      </c>
      <c r="C56" s="19" t="s">
        <v>866</v>
      </c>
      <c r="D56" s="19" t="s">
        <v>482</v>
      </c>
      <c r="E56" s="19" t="s">
        <v>1028</v>
      </c>
      <c r="F56" s="19" t="s">
        <v>1112</v>
      </c>
      <c r="G56" s="2"/>
      <c r="H56" s="2"/>
      <c r="I56" s="2"/>
    </row>
    <row r="57" customFormat="false" ht="23.85" hidden="false" customHeight="false" outlineLevel="0" collapsed="false">
      <c r="A57" s="19" t="s">
        <v>1030</v>
      </c>
      <c r="B57" s="19" t="s">
        <v>353</v>
      </c>
      <c r="C57" s="19" t="s">
        <v>900</v>
      </c>
      <c r="D57" s="19" t="s">
        <v>484</v>
      </c>
      <c r="E57" s="19" t="s">
        <v>1031</v>
      </c>
      <c r="F57" s="19" t="s">
        <v>1113</v>
      </c>
      <c r="G57" s="2"/>
      <c r="H57" s="2"/>
      <c r="I57" s="2"/>
    </row>
    <row r="58" customFormat="false" ht="15" hidden="false" customHeight="false" outlineLevel="0" collapsed="false">
      <c r="A58" s="19" t="s">
        <v>1033</v>
      </c>
      <c r="B58" s="19" t="s">
        <v>353</v>
      </c>
      <c r="C58" s="19" t="s">
        <v>900</v>
      </c>
      <c r="D58" s="19" t="s">
        <v>486</v>
      </c>
      <c r="E58" s="19" t="s">
        <v>1034</v>
      </c>
      <c r="F58" s="19" t="s">
        <v>1114</v>
      </c>
      <c r="G58" s="2"/>
      <c r="H58" s="2"/>
      <c r="I58" s="2"/>
    </row>
    <row r="59" customFormat="false" ht="23.85" hidden="false" customHeight="false" outlineLevel="0" collapsed="false">
      <c r="A59" s="19" t="s">
        <v>1036</v>
      </c>
      <c r="B59" s="19" t="s">
        <v>309</v>
      </c>
      <c r="C59" s="19" t="s">
        <v>900</v>
      </c>
      <c r="D59" s="19" t="s">
        <v>488</v>
      </c>
      <c r="E59" s="19" t="s">
        <v>1037</v>
      </c>
      <c r="F59" s="19" t="s">
        <v>1115</v>
      </c>
      <c r="G59" s="2"/>
      <c r="H59" s="2"/>
      <c r="I59" s="2"/>
    </row>
    <row r="60" customFormat="false" ht="23.85" hidden="false" customHeight="false" outlineLevel="0" collapsed="false">
      <c r="A60" s="19" t="s">
        <v>1039</v>
      </c>
      <c r="B60" s="19" t="s">
        <v>260</v>
      </c>
      <c r="C60" s="19" t="s">
        <v>893</v>
      </c>
      <c r="D60" s="19" t="s">
        <v>491</v>
      </c>
      <c r="E60" s="19" t="s">
        <v>1040</v>
      </c>
      <c r="F60" s="19" t="s">
        <v>1116</v>
      </c>
      <c r="G60" s="2"/>
      <c r="H60" s="2"/>
      <c r="I60" s="2"/>
    </row>
    <row r="61" customFormat="false" ht="23.85" hidden="false" customHeight="false" outlineLevel="0" collapsed="false">
      <c r="A61" s="19" t="s">
        <v>1042</v>
      </c>
      <c r="B61" s="19" t="s">
        <v>294</v>
      </c>
      <c r="C61" s="19" t="s">
        <v>900</v>
      </c>
      <c r="D61" s="19" t="s">
        <v>493</v>
      </c>
      <c r="E61" s="19" t="s">
        <v>1043</v>
      </c>
      <c r="F61" s="19" t="s">
        <v>1117</v>
      </c>
      <c r="G61" s="2"/>
      <c r="H61" s="2"/>
      <c r="I61" s="2"/>
    </row>
    <row r="62" customFormat="false" ht="23.85" hidden="false" customHeight="false" outlineLevel="0" collapsed="false">
      <c r="A62" s="19" t="s">
        <v>1045</v>
      </c>
      <c r="B62" s="19" t="s">
        <v>331</v>
      </c>
      <c r="C62" s="19" t="s">
        <v>500</v>
      </c>
      <c r="D62" s="19" t="s">
        <v>453</v>
      </c>
      <c r="E62" s="19" t="s">
        <v>1046</v>
      </c>
      <c r="F62" s="19" t="s">
        <v>1118</v>
      </c>
      <c r="G62" s="2"/>
      <c r="H62" s="2"/>
      <c r="I62" s="2"/>
    </row>
    <row r="63" customFormat="false" ht="23.85" hidden="false" customHeight="false" outlineLevel="0" collapsed="false">
      <c r="A63" s="19" t="s">
        <v>1048</v>
      </c>
      <c r="B63" s="19" t="s">
        <v>249</v>
      </c>
      <c r="C63" s="19" t="s">
        <v>500</v>
      </c>
      <c r="D63" s="19" t="s">
        <v>495</v>
      </c>
      <c r="E63" s="19" t="s">
        <v>1049</v>
      </c>
      <c r="F63" s="19" t="s">
        <v>1119</v>
      </c>
      <c r="G63" s="2"/>
      <c r="H63" s="2"/>
      <c r="I63" s="2"/>
    </row>
    <row r="64" customFormat="false" ht="23.85" hidden="false" customHeight="false" outlineLevel="0" collapsed="false">
      <c r="A64" s="19" t="s">
        <v>1051</v>
      </c>
      <c r="B64" s="19" t="s">
        <v>249</v>
      </c>
      <c r="C64" s="19" t="s">
        <v>879</v>
      </c>
      <c r="D64" s="19" t="s">
        <v>498</v>
      </c>
      <c r="E64" s="19" t="s">
        <v>1052</v>
      </c>
      <c r="F64" s="19" t="s">
        <v>1120</v>
      </c>
      <c r="G64" s="2"/>
      <c r="H64" s="2"/>
      <c r="I64" s="2"/>
    </row>
    <row r="65" customFormat="false" ht="23.85" hidden="false" customHeight="false" outlineLevel="0" collapsed="false">
      <c r="A65" s="19" t="s">
        <v>1054</v>
      </c>
      <c r="B65" s="19" t="s">
        <v>249</v>
      </c>
      <c r="C65" s="19" t="s">
        <v>500</v>
      </c>
      <c r="D65" s="19" t="s">
        <v>500</v>
      </c>
      <c r="E65" s="19" t="s">
        <v>1055</v>
      </c>
      <c r="F65" s="19" t="s">
        <v>1121</v>
      </c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2.05" hidden="false" customHeight="false" outlineLevel="0" collapsed="false">
      <c r="A1" s="16" t="s">
        <v>1122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1123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3.85" hidden="false" customHeight="false" outlineLevel="0" collapsed="false">
      <c r="A4" s="31" t="s">
        <v>51</v>
      </c>
      <c r="B4" s="31" t="s">
        <v>1124</v>
      </c>
      <c r="C4" s="31" t="s">
        <v>1125</v>
      </c>
      <c r="D4" s="31" t="s">
        <v>1126</v>
      </c>
      <c r="E4" s="31" t="s">
        <v>52</v>
      </c>
      <c r="F4" s="31" t="s">
        <v>1127</v>
      </c>
      <c r="G4" s="31" t="s">
        <v>1128</v>
      </c>
      <c r="H4" s="31" t="s">
        <v>1129</v>
      </c>
      <c r="I4" s="2"/>
      <c r="J4" s="2"/>
      <c r="K4" s="2"/>
    </row>
    <row r="5" customFormat="false" ht="15" hidden="false" customHeight="false" outlineLevel="0" collapsed="false">
      <c r="A5" s="15" t="s">
        <v>53</v>
      </c>
      <c r="B5" s="7" t="n">
        <v>0</v>
      </c>
      <c r="C5" s="7" t="n">
        <v>2</v>
      </c>
      <c r="D5" s="7" t="n">
        <f aca="false">B5+C5</f>
        <v>2</v>
      </c>
      <c r="E5" s="32" t="s">
        <v>54</v>
      </c>
      <c r="F5" s="7" t="n">
        <v>100</v>
      </c>
      <c r="G5" s="7" t="n">
        <f aca="false">C5*F5/100</f>
        <v>2</v>
      </c>
      <c r="H5" s="7" t="n">
        <f aca="false">C5-G5</f>
        <v>0</v>
      </c>
      <c r="I5" s="2"/>
      <c r="J5" s="2"/>
      <c r="K5" s="2"/>
    </row>
    <row r="6" customFormat="false" ht="15" hidden="false" customHeight="false" outlineLevel="0" collapsed="false">
      <c r="A6" s="15" t="s">
        <v>1130</v>
      </c>
      <c r="B6" s="7" t="n">
        <v>2</v>
      </c>
      <c r="C6" s="7" t="n">
        <v>4</v>
      </c>
      <c r="D6" s="7" t="n">
        <f aca="false">B6+C6</f>
        <v>6</v>
      </c>
      <c r="E6" s="32" t="s">
        <v>54</v>
      </c>
      <c r="F6" s="7" t="n">
        <v>100</v>
      </c>
      <c r="G6" s="7" t="n">
        <f aca="false">C6*F6/100</f>
        <v>4</v>
      </c>
      <c r="H6" s="7" t="n">
        <f aca="false">C6-G6</f>
        <v>0</v>
      </c>
      <c r="I6" s="2"/>
      <c r="J6" s="2"/>
      <c r="K6" s="2"/>
    </row>
    <row r="7" customFormat="false" ht="15" hidden="false" customHeight="false" outlineLevel="0" collapsed="false">
      <c r="A7" s="15" t="s">
        <v>1131</v>
      </c>
      <c r="B7" s="7" t="n">
        <v>6</v>
      </c>
      <c r="C7" s="7" t="n">
        <v>3</v>
      </c>
      <c r="D7" s="7" t="n">
        <f aca="false">B7+C7</f>
        <v>9</v>
      </c>
      <c r="E7" s="32" t="s">
        <v>54</v>
      </c>
      <c r="F7" s="7" t="n">
        <v>100</v>
      </c>
      <c r="G7" s="7" t="n">
        <f aca="false">C7*F7/100</f>
        <v>3</v>
      </c>
      <c r="H7" s="7" t="n">
        <f aca="false">C7-G7</f>
        <v>0</v>
      </c>
      <c r="I7" s="2"/>
      <c r="J7" s="2"/>
      <c r="K7" s="2"/>
    </row>
    <row r="8" customFormat="false" ht="15" hidden="false" customHeight="false" outlineLevel="0" collapsed="false">
      <c r="A8" s="15" t="s">
        <v>57</v>
      </c>
      <c r="B8" s="7" t="n">
        <v>9</v>
      </c>
      <c r="C8" s="7" t="n">
        <v>3</v>
      </c>
      <c r="D8" s="7" t="n">
        <f aca="false">B8+C8</f>
        <v>12</v>
      </c>
      <c r="E8" s="32" t="s">
        <v>54</v>
      </c>
      <c r="F8" s="7" t="n">
        <v>100</v>
      </c>
      <c r="G8" s="7" t="n">
        <f aca="false">C8*F8/100</f>
        <v>3</v>
      </c>
      <c r="H8" s="7" t="n">
        <f aca="false">C8-G8</f>
        <v>0</v>
      </c>
      <c r="I8" s="2"/>
      <c r="J8" s="2"/>
      <c r="K8" s="2"/>
    </row>
    <row r="9" customFormat="false" ht="15" hidden="false" customHeight="false" outlineLevel="0" collapsed="false">
      <c r="A9" s="15" t="s">
        <v>1132</v>
      </c>
      <c r="B9" s="7" t="n">
        <v>12</v>
      </c>
      <c r="C9" s="7" t="n">
        <v>2</v>
      </c>
      <c r="D9" s="7" t="n">
        <f aca="false">B9+C9</f>
        <v>14</v>
      </c>
      <c r="E9" s="32" t="s">
        <v>54</v>
      </c>
      <c r="F9" s="7" t="n">
        <v>100</v>
      </c>
      <c r="G9" s="7" t="n">
        <f aca="false">C9*F9/100</f>
        <v>2</v>
      </c>
      <c r="H9" s="7" t="n">
        <f aca="false">C9-G9</f>
        <v>0</v>
      </c>
      <c r="I9" s="2"/>
      <c r="J9" s="2"/>
      <c r="K9" s="2"/>
    </row>
    <row r="10" customFormat="false" ht="15" hidden="false" customHeight="false" outlineLevel="0" collapsed="false">
      <c r="A10" s="15" t="s">
        <v>59</v>
      </c>
      <c r="B10" s="7" t="n">
        <v>14</v>
      </c>
      <c r="C10" s="7" t="n">
        <v>2</v>
      </c>
      <c r="D10" s="7" t="n">
        <f aca="false">B10+C10</f>
        <v>16</v>
      </c>
      <c r="E10" s="32" t="s">
        <v>54</v>
      </c>
      <c r="F10" s="7" t="n">
        <v>100</v>
      </c>
      <c r="G10" s="7" t="n">
        <f aca="false">C10*F10/100</f>
        <v>2</v>
      </c>
      <c r="H10" s="7" t="n">
        <f aca="false">C10-G10</f>
        <v>0</v>
      </c>
      <c r="I10" s="2"/>
      <c r="J10" s="2"/>
      <c r="K10" s="2"/>
    </row>
    <row r="11" customFormat="false" ht="15" hidden="false" customHeight="false" outlineLevel="0" collapsed="false">
      <c r="A11" s="15" t="s">
        <v>1133</v>
      </c>
      <c r="B11" s="7" t="n">
        <v>16</v>
      </c>
      <c r="C11" s="7" t="n">
        <v>2</v>
      </c>
      <c r="D11" s="7" t="n">
        <f aca="false">B11+C11</f>
        <v>18</v>
      </c>
      <c r="E11" s="32" t="s">
        <v>54</v>
      </c>
      <c r="F11" s="7" t="n">
        <v>100</v>
      </c>
      <c r="G11" s="7" t="n">
        <f aca="false">C11*F11/100</f>
        <v>2</v>
      </c>
      <c r="H11" s="7" t="n">
        <f aca="false">C11-G11</f>
        <v>0</v>
      </c>
      <c r="I11" s="2"/>
      <c r="J11" s="2"/>
      <c r="K11" s="2"/>
    </row>
    <row r="12" customFormat="false" ht="15" hidden="false" customHeight="false" outlineLevel="0" collapsed="false">
      <c r="A12" s="15" t="s">
        <v>1134</v>
      </c>
      <c r="B12" s="7" t="n">
        <v>18</v>
      </c>
      <c r="C12" s="7" t="n">
        <v>2</v>
      </c>
      <c r="D12" s="7" t="n">
        <f aca="false">B12+C12</f>
        <v>20</v>
      </c>
      <c r="E12" s="32" t="s">
        <v>54</v>
      </c>
      <c r="F12" s="7" t="n">
        <v>100</v>
      </c>
      <c r="G12" s="7" t="n">
        <f aca="false">C12*F12/100</f>
        <v>2</v>
      </c>
      <c r="H12" s="7" t="n">
        <f aca="false">C12-G12</f>
        <v>0</v>
      </c>
      <c r="I12" s="2"/>
      <c r="J12" s="2"/>
      <c r="K12" s="2"/>
    </row>
    <row r="13" customFormat="false" ht="15" hidden="false" customHeight="false" outlineLevel="0" collapsed="false">
      <c r="A13" s="15" t="s">
        <v>62</v>
      </c>
      <c r="B13" s="7" t="n">
        <v>20</v>
      </c>
      <c r="C13" s="7" t="n">
        <v>2</v>
      </c>
      <c r="D13" s="7" t="n">
        <f aca="false">B13+C13</f>
        <v>22</v>
      </c>
      <c r="E13" s="32" t="s">
        <v>54</v>
      </c>
      <c r="F13" s="7" t="n">
        <v>100</v>
      </c>
      <c r="G13" s="7" t="n">
        <f aca="false">C13*F13/100</f>
        <v>2</v>
      </c>
      <c r="H13" s="7" t="n">
        <f aca="false">C13-G13</f>
        <v>0</v>
      </c>
      <c r="I13" s="2"/>
      <c r="J13" s="2"/>
      <c r="K13" s="2"/>
    </row>
    <row r="14" customFormat="false" ht="15" hidden="false" customHeight="false" outlineLevel="0" collapsed="false">
      <c r="A14" s="15" t="s">
        <v>1135</v>
      </c>
      <c r="B14" s="7" t="n">
        <v>22</v>
      </c>
      <c r="C14" s="7" t="n">
        <v>1</v>
      </c>
      <c r="D14" s="7" t="n">
        <f aca="false">B14+C14</f>
        <v>23</v>
      </c>
      <c r="E14" s="32" t="s">
        <v>54</v>
      </c>
      <c r="F14" s="7" t="n">
        <v>100</v>
      </c>
      <c r="G14" s="7" t="n">
        <f aca="false">C14*F14/100</f>
        <v>1</v>
      </c>
      <c r="H14" s="7" t="n">
        <f aca="false">C14-G14</f>
        <v>0</v>
      </c>
      <c r="I14" s="2"/>
      <c r="J14" s="2"/>
      <c r="K14" s="2"/>
    </row>
    <row r="15" customFormat="false" ht="15" hidden="false" customHeight="false" outlineLevel="0" collapsed="false">
      <c r="A15" s="15" t="s">
        <v>1136</v>
      </c>
      <c r="B15" s="7" t="n">
        <v>23</v>
      </c>
      <c r="C15" s="7" t="n">
        <v>2</v>
      </c>
      <c r="D15" s="7" t="n">
        <f aca="false">B15+C15</f>
        <v>25</v>
      </c>
      <c r="E15" s="32" t="s">
        <v>54</v>
      </c>
      <c r="F15" s="7" t="n">
        <v>100</v>
      </c>
      <c r="G15" s="7" t="n">
        <f aca="false">C15*F15/100</f>
        <v>2</v>
      </c>
      <c r="H15" s="7" t="n">
        <f aca="false">C15-G15</f>
        <v>0</v>
      </c>
      <c r="I15" s="2"/>
      <c r="J15" s="2"/>
      <c r="K15" s="2"/>
    </row>
    <row r="16" customFormat="false" ht="15" hidden="false" customHeight="false" outlineLevel="0" collapsed="false">
      <c r="A16" s="15" t="s">
        <v>1137</v>
      </c>
      <c r="B16" s="7" t="n">
        <v>25</v>
      </c>
      <c r="C16" s="7" t="n">
        <v>1</v>
      </c>
      <c r="D16" s="7" t="n">
        <f aca="false">B16+C16</f>
        <v>26</v>
      </c>
      <c r="E16" s="32" t="s">
        <v>54</v>
      </c>
      <c r="F16" s="7" t="n">
        <v>100</v>
      </c>
      <c r="G16" s="7" t="n">
        <f aca="false">C16*F16/100</f>
        <v>1</v>
      </c>
      <c r="H16" s="7" t="n">
        <f aca="false">C16-G16</f>
        <v>0</v>
      </c>
      <c r="I16" s="2"/>
      <c r="J16" s="2"/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33" t="s">
        <v>1138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34" t="s">
        <v>52</v>
      </c>
      <c r="B20" s="34" t="s">
        <v>68</v>
      </c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4" t="s">
        <v>180</v>
      </c>
      <c r="B21" s="35" t="n">
        <f aca="false">COUNTIF('Action Tracker'!F2:F21,"Not started")</f>
        <v>15</v>
      </c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4" t="s">
        <v>170</v>
      </c>
      <c r="B22" s="35" t="n">
        <f aca="false">COUNTIF('Action Tracker'!F2:F21,"In progress")</f>
        <v>2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4" t="s">
        <v>1139</v>
      </c>
      <c r="B23" s="35" t="n">
        <f aca="false">COUNTIF('Action Tracker'!F2:F21,"Closed*")</f>
        <v>1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4" t="s">
        <v>196</v>
      </c>
      <c r="B24" s="35" t="n">
        <f aca="false">COUNTIF('Action Tracker'!F2:F21,"Blocked/waiting")</f>
        <v>1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4" t="s">
        <v>219</v>
      </c>
      <c r="B25" s="35" t="n">
        <f aca="false">COUNTIF('Action Tracker'!F2:F21,"Parked")</f>
        <v>1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33" t="s">
        <v>1140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34" t="s">
        <v>52</v>
      </c>
      <c r="B29" s="34" t="s">
        <v>68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4" t="s">
        <v>54</v>
      </c>
      <c r="B30" s="35" t="n">
        <f aca="false">COUNTIF(E5:E16,"Sealed")</f>
        <v>12</v>
      </c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4" t="s">
        <v>170</v>
      </c>
      <c r="B31" s="35" t="n">
        <f aca="false">COUNTIF(E5:E16,"In progress")</f>
        <v>0</v>
      </c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4" t="s">
        <v>251</v>
      </c>
      <c r="B32" s="35" t="n">
        <f aca="false">COUNTIF(E5:E16,"Pending")</f>
        <v>0</v>
      </c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34" t="s">
        <v>1141</v>
      </c>
      <c r="B34" s="36" t="n">
        <f aca="false">AVERAGE(F5:F16)</f>
        <v>100</v>
      </c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33" t="s">
        <v>1142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3.85" hidden="false" customHeight="false" outlineLevel="0" collapsed="false">
      <c r="A38" s="31" t="s">
        <v>1143</v>
      </c>
      <c r="B38" s="31" t="s">
        <v>1124</v>
      </c>
      <c r="C38" s="31" t="s">
        <v>1144</v>
      </c>
      <c r="D38" s="31" t="s">
        <v>1129</v>
      </c>
      <c r="E38" s="31" t="s">
        <v>51</v>
      </c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7" t="s">
        <v>1145</v>
      </c>
      <c r="B39" s="7" t="n">
        <v>12</v>
      </c>
      <c r="C39" s="7" t="n">
        <v>2</v>
      </c>
      <c r="D39" s="7" t="n">
        <v>0</v>
      </c>
      <c r="E39" s="7" t="s">
        <v>309</v>
      </c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7" t="s">
        <v>1146</v>
      </c>
      <c r="B40" s="7" t="n">
        <v>6</v>
      </c>
      <c r="C40" s="7" t="n">
        <v>3</v>
      </c>
      <c r="D40" s="7" t="n">
        <v>0</v>
      </c>
      <c r="E40" s="7" t="s">
        <v>271</v>
      </c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7" t="s">
        <v>1147</v>
      </c>
      <c r="B41" s="7" t="n">
        <v>2</v>
      </c>
      <c r="C41" s="7" t="n">
        <v>4</v>
      </c>
      <c r="D41" s="7" t="n">
        <v>0</v>
      </c>
      <c r="E41" s="7" t="s">
        <v>260</v>
      </c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7" t="s">
        <v>1148</v>
      </c>
      <c r="B42" s="7" t="n">
        <v>6</v>
      </c>
      <c r="C42" s="7" t="n">
        <v>3</v>
      </c>
      <c r="D42" s="7" t="n">
        <v>0</v>
      </c>
      <c r="E42" s="7" t="s">
        <v>271</v>
      </c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7" t="s">
        <v>1149</v>
      </c>
      <c r="B43" s="7" t="n">
        <v>2</v>
      </c>
      <c r="C43" s="7" t="n">
        <v>4</v>
      </c>
      <c r="D43" s="7" t="n">
        <v>0</v>
      </c>
      <c r="E43" s="7" t="s">
        <v>260</v>
      </c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7" t="s">
        <v>1150</v>
      </c>
      <c r="B44" s="7" t="n">
        <v>2</v>
      </c>
      <c r="C44" s="7" t="n">
        <v>4</v>
      </c>
      <c r="D44" s="7" t="n">
        <v>0</v>
      </c>
      <c r="E44" s="7" t="s">
        <v>260</v>
      </c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7" t="s">
        <v>1151</v>
      </c>
      <c r="B45" s="7" t="n">
        <v>2</v>
      </c>
      <c r="C45" s="7" t="n">
        <v>4</v>
      </c>
      <c r="D45" s="7" t="n">
        <v>0</v>
      </c>
      <c r="E45" s="7" t="s">
        <v>260</v>
      </c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7" t="s">
        <v>1152</v>
      </c>
      <c r="B46" s="7" t="n">
        <v>2</v>
      </c>
      <c r="C46" s="7" t="n">
        <v>4</v>
      </c>
      <c r="D46" s="7" t="n">
        <v>0</v>
      </c>
      <c r="E46" s="7" t="s">
        <v>260</v>
      </c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7" t="s">
        <v>1153</v>
      </c>
      <c r="B47" s="7" t="n">
        <v>9</v>
      </c>
      <c r="C47" s="7" t="n">
        <v>3</v>
      </c>
      <c r="D47" s="7" t="n">
        <v>0</v>
      </c>
      <c r="E47" s="7" t="s">
        <v>294</v>
      </c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7" t="s">
        <v>1154</v>
      </c>
      <c r="B48" s="7" t="n">
        <v>6</v>
      </c>
      <c r="C48" s="7" t="n">
        <v>3</v>
      </c>
      <c r="D48" s="7" t="n">
        <v>0</v>
      </c>
      <c r="E48" s="7" t="s">
        <v>271</v>
      </c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7" t="s">
        <v>1155</v>
      </c>
      <c r="B49" s="7" t="n">
        <v>6</v>
      </c>
      <c r="C49" s="7" t="n">
        <v>3</v>
      </c>
      <c r="D49" s="7" t="n">
        <v>0</v>
      </c>
      <c r="E49" s="7" t="s">
        <v>271</v>
      </c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7" t="s">
        <v>1156</v>
      </c>
      <c r="B50" s="7" t="n">
        <v>6</v>
      </c>
      <c r="C50" s="7" t="n">
        <v>3</v>
      </c>
      <c r="D50" s="7" t="n">
        <v>0</v>
      </c>
      <c r="E50" s="7" t="s">
        <v>271</v>
      </c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7" t="s">
        <v>1157</v>
      </c>
      <c r="B51" s="7" t="n">
        <v>6</v>
      </c>
      <c r="C51" s="7" t="n">
        <v>3</v>
      </c>
      <c r="D51" s="7" t="n">
        <v>0</v>
      </c>
      <c r="E51" s="7" t="s">
        <v>271</v>
      </c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7" t="s">
        <v>1158</v>
      </c>
      <c r="B52" s="7" t="n">
        <v>16</v>
      </c>
      <c r="C52" s="7" t="n">
        <v>1.4</v>
      </c>
      <c r="D52" s="7" t="n">
        <v>0.6</v>
      </c>
      <c r="E52" s="7" t="s">
        <v>331</v>
      </c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7" t="s">
        <v>1159</v>
      </c>
      <c r="B53" s="7" t="n">
        <v>12</v>
      </c>
      <c r="C53" s="7" t="n">
        <v>2</v>
      </c>
      <c r="D53" s="7" t="n">
        <v>0</v>
      </c>
      <c r="E53" s="7" t="s">
        <v>309</v>
      </c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7" t="s">
        <v>1160</v>
      </c>
      <c r="B54" s="7" t="n">
        <v>6</v>
      </c>
      <c r="C54" s="7" t="n">
        <v>3</v>
      </c>
      <c r="D54" s="7" t="n">
        <v>0</v>
      </c>
      <c r="E54" s="7" t="s">
        <v>271</v>
      </c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7" t="s">
        <v>1161</v>
      </c>
      <c r="B55" s="7" t="n">
        <v>18</v>
      </c>
      <c r="C55" s="7" t="n">
        <v>0</v>
      </c>
      <c r="D55" s="7" t="n">
        <v>2</v>
      </c>
      <c r="E55" s="7" t="s">
        <v>336</v>
      </c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7" t="s">
        <v>1162</v>
      </c>
      <c r="B56" s="7" t="n">
        <v>6</v>
      </c>
      <c r="C56" s="7" t="n">
        <v>3</v>
      </c>
      <c r="D56" s="7" t="n">
        <v>0</v>
      </c>
      <c r="E56" s="7" t="s">
        <v>271</v>
      </c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7" t="s">
        <v>1163</v>
      </c>
      <c r="B57" s="7" t="n">
        <v>0</v>
      </c>
      <c r="C57" s="7" t="n">
        <v>2</v>
      </c>
      <c r="D57" s="7" t="n">
        <v>0</v>
      </c>
      <c r="E57" s="7" t="s">
        <v>249</v>
      </c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7" t="s">
        <v>1164</v>
      </c>
      <c r="B58" s="7" t="n">
        <v>2</v>
      </c>
      <c r="C58" s="7" t="n">
        <v>4</v>
      </c>
      <c r="D58" s="7" t="n">
        <v>0</v>
      </c>
      <c r="E58" s="7" t="s">
        <v>260</v>
      </c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7" t="s">
        <v>1165</v>
      </c>
      <c r="B59" s="7" t="n">
        <v>12</v>
      </c>
      <c r="C59" s="7" t="n">
        <v>2</v>
      </c>
      <c r="D59" s="7" t="n">
        <v>0</v>
      </c>
      <c r="E59" s="7" t="s">
        <v>309</v>
      </c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7" t="s">
        <v>1166</v>
      </c>
      <c r="B60" s="7" t="n">
        <v>18</v>
      </c>
      <c r="C60" s="7" t="n">
        <v>0</v>
      </c>
      <c r="D60" s="7" t="n">
        <v>2</v>
      </c>
      <c r="E60" s="7" t="s">
        <v>336</v>
      </c>
      <c r="F60" s="2"/>
      <c r="G60" s="2"/>
      <c r="H60" s="2"/>
      <c r="I60" s="2"/>
      <c r="J60" s="2"/>
      <c r="K60" s="2"/>
    </row>
    <row r="61" customFormat="false" ht="15" hidden="false" customHeight="false" outlineLevel="0" collapsed="false">
      <c r="A61" s="7" t="s">
        <v>1167</v>
      </c>
      <c r="B61" s="7" t="n">
        <v>25</v>
      </c>
      <c r="C61" s="7" t="n">
        <v>0</v>
      </c>
      <c r="D61" s="7" t="n">
        <v>1</v>
      </c>
      <c r="E61" s="7" t="s">
        <v>353</v>
      </c>
      <c r="F61" s="2"/>
      <c r="G61" s="2"/>
      <c r="H61" s="2"/>
      <c r="I61" s="2"/>
      <c r="J61" s="2"/>
      <c r="K61" s="2"/>
    </row>
    <row r="62" customFormat="false" ht="15" hidden="false" customHeight="false" outlineLevel="0" collapsed="false">
      <c r="A62" s="7" t="s">
        <v>1168</v>
      </c>
      <c r="B62" s="7" t="n">
        <v>12</v>
      </c>
      <c r="C62" s="7" t="n">
        <v>2</v>
      </c>
      <c r="D62" s="7" t="n">
        <v>0</v>
      </c>
      <c r="E62" s="7" t="s">
        <v>309</v>
      </c>
      <c r="F62" s="2"/>
      <c r="G62" s="2"/>
      <c r="H62" s="2"/>
      <c r="I62" s="2"/>
      <c r="J62" s="2"/>
      <c r="K62" s="2"/>
    </row>
    <row r="63" customFormat="false" ht="15" hidden="false" customHeight="false" outlineLevel="0" collapsed="false">
      <c r="A63" s="7" t="s">
        <v>1169</v>
      </c>
      <c r="B63" s="7" t="n">
        <v>2</v>
      </c>
      <c r="C63" s="7" t="n">
        <v>4</v>
      </c>
      <c r="D63" s="7" t="n">
        <v>0</v>
      </c>
      <c r="E63" s="7" t="s">
        <v>260</v>
      </c>
      <c r="F63" s="2"/>
      <c r="G63" s="2"/>
      <c r="H63" s="2"/>
      <c r="I63" s="2"/>
      <c r="J63" s="2"/>
      <c r="K63" s="2"/>
    </row>
    <row r="64" customFormat="false" ht="15" hidden="false" customHeight="false" outlineLevel="0" collapsed="false">
      <c r="A64" s="7" t="s">
        <v>1170</v>
      </c>
      <c r="B64" s="7" t="n">
        <v>2</v>
      </c>
      <c r="C64" s="7" t="n">
        <v>4</v>
      </c>
      <c r="D64" s="7" t="n">
        <v>0</v>
      </c>
      <c r="E64" s="7" t="s">
        <v>260</v>
      </c>
      <c r="F64" s="2"/>
      <c r="G64" s="2"/>
      <c r="H64" s="2"/>
      <c r="I64" s="2"/>
      <c r="J64" s="2"/>
      <c r="K64" s="2"/>
    </row>
    <row r="65" customFormat="false" ht="15" hidden="false" customHeight="false" outlineLevel="0" collapsed="false">
      <c r="A65" s="7" t="s">
        <v>1171</v>
      </c>
      <c r="B65" s="7" t="n">
        <v>2</v>
      </c>
      <c r="C65" s="7" t="n">
        <v>4</v>
      </c>
      <c r="D65" s="7" t="n">
        <v>0</v>
      </c>
      <c r="E65" s="7" t="s">
        <v>260</v>
      </c>
      <c r="F65" s="2"/>
      <c r="G65" s="2"/>
      <c r="H65" s="2"/>
      <c r="I65" s="2"/>
      <c r="J65" s="2"/>
      <c r="K65" s="2"/>
    </row>
    <row r="66" customFormat="false" ht="15" hidden="false" customHeight="false" outlineLevel="0" collapsed="false">
      <c r="A66" s="7" t="s">
        <v>1172</v>
      </c>
      <c r="B66" s="7" t="n">
        <v>22</v>
      </c>
      <c r="C66" s="7" t="n">
        <v>0</v>
      </c>
      <c r="D66" s="7" t="n">
        <v>1</v>
      </c>
      <c r="E66" s="7" t="s">
        <v>345</v>
      </c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7" t="s">
        <v>1173</v>
      </c>
      <c r="B67" s="7" t="n">
        <v>18</v>
      </c>
      <c r="C67" s="7" t="n">
        <v>0</v>
      </c>
      <c r="D67" s="7" t="n">
        <v>2</v>
      </c>
      <c r="E67" s="7" t="s">
        <v>336</v>
      </c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7" t="s">
        <v>1174</v>
      </c>
      <c r="B68" s="7" t="n">
        <v>20</v>
      </c>
      <c r="C68" s="7" t="n">
        <v>0</v>
      </c>
      <c r="D68" s="7" t="n">
        <v>2</v>
      </c>
      <c r="E68" s="7" t="s">
        <v>340</v>
      </c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7" t="s">
        <v>1175</v>
      </c>
      <c r="B69" s="7" t="n">
        <v>23</v>
      </c>
      <c r="C69" s="7" t="n">
        <v>0</v>
      </c>
      <c r="D69" s="7" t="n">
        <v>2</v>
      </c>
      <c r="E69" s="7" t="s">
        <v>349</v>
      </c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7" t="s">
        <v>1176</v>
      </c>
      <c r="B70" s="7" t="n">
        <v>18</v>
      </c>
      <c r="C70" s="7" t="n">
        <v>0</v>
      </c>
      <c r="D70" s="7" t="n">
        <v>2</v>
      </c>
      <c r="E70" s="7" t="s">
        <v>336</v>
      </c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48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8" t="s">
        <v>91</v>
      </c>
      <c r="B1" s="18" t="s">
        <v>851</v>
      </c>
      <c r="C1" s="18" t="s">
        <v>1177</v>
      </c>
      <c r="D1" s="18" t="s">
        <v>1178</v>
      </c>
      <c r="E1" s="18" t="s">
        <v>1179</v>
      </c>
      <c r="F1" s="18" t="s">
        <v>87</v>
      </c>
      <c r="G1" s="18" t="s">
        <v>1180</v>
      </c>
      <c r="H1" s="18" t="s">
        <v>52</v>
      </c>
      <c r="I1" s="2"/>
      <c r="J1" s="2"/>
      <c r="K1" s="2"/>
    </row>
    <row r="2" customFormat="false" ht="35.05" hidden="false" customHeight="false" outlineLevel="0" collapsed="false">
      <c r="A2" s="28" t="s">
        <v>1181</v>
      </c>
      <c r="B2" s="28" t="s">
        <v>1182</v>
      </c>
      <c r="C2" s="28" t="s">
        <v>1183</v>
      </c>
      <c r="D2" s="28" t="s">
        <v>1184</v>
      </c>
      <c r="E2" s="28" t="s">
        <v>1185</v>
      </c>
      <c r="F2" s="37" t="s">
        <v>1186</v>
      </c>
      <c r="G2" s="28" t="s">
        <v>1187</v>
      </c>
      <c r="H2" s="20" t="s">
        <v>1188</v>
      </c>
      <c r="I2" s="2"/>
      <c r="J2" s="2"/>
      <c r="K2" s="2"/>
    </row>
    <row r="3" customFormat="false" ht="23.85" hidden="false" customHeight="false" outlineLevel="0" collapsed="false">
      <c r="A3" s="28" t="s">
        <v>1189</v>
      </c>
      <c r="B3" s="28" t="s">
        <v>1190</v>
      </c>
      <c r="C3" s="28" t="s">
        <v>1191</v>
      </c>
      <c r="D3" s="28" t="s">
        <v>1192</v>
      </c>
      <c r="E3" s="28" t="s">
        <v>1193</v>
      </c>
      <c r="F3" s="37" t="s">
        <v>1186</v>
      </c>
      <c r="G3" s="28" t="s">
        <v>1194</v>
      </c>
      <c r="H3" s="20" t="s">
        <v>1188</v>
      </c>
      <c r="I3" s="2"/>
      <c r="J3" s="2"/>
      <c r="K3" s="2"/>
    </row>
    <row r="4" customFormat="false" ht="23.85" hidden="false" customHeight="false" outlineLevel="0" collapsed="false">
      <c r="A4" s="28" t="s">
        <v>1195</v>
      </c>
      <c r="B4" s="28" t="s">
        <v>1190</v>
      </c>
      <c r="C4" s="28" t="s">
        <v>1196</v>
      </c>
      <c r="D4" s="28" t="s">
        <v>1197</v>
      </c>
      <c r="E4" s="28" t="s">
        <v>1198</v>
      </c>
      <c r="F4" s="38" t="s">
        <v>123</v>
      </c>
      <c r="G4" s="28" t="s">
        <v>1199</v>
      </c>
      <c r="H4" s="20" t="s">
        <v>1188</v>
      </c>
      <c r="I4" s="2"/>
      <c r="J4" s="2"/>
      <c r="K4" s="2"/>
    </row>
    <row r="5" customFormat="false" ht="35.05" hidden="false" customHeight="false" outlineLevel="0" collapsed="false">
      <c r="A5" s="28" t="s">
        <v>1200</v>
      </c>
      <c r="B5" s="28" t="s">
        <v>1201</v>
      </c>
      <c r="C5" s="28" t="s">
        <v>1202</v>
      </c>
      <c r="D5" s="28" t="s">
        <v>1203</v>
      </c>
      <c r="E5" s="28" t="s">
        <v>1204</v>
      </c>
      <c r="F5" s="38" t="s">
        <v>123</v>
      </c>
      <c r="G5" s="28" t="s">
        <v>1205</v>
      </c>
      <c r="H5" s="20" t="s">
        <v>1206</v>
      </c>
      <c r="I5" s="2"/>
      <c r="J5" s="2"/>
      <c r="K5" s="2"/>
    </row>
    <row r="6" customFormat="false" ht="35.05" hidden="false" customHeight="false" outlineLevel="0" collapsed="false">
      <c r="A6" s="28" t="s">
        <v>1207</v>
      </c>
      <c r="B6" s="28" t="s">
        <v>1208</v>
      </c>
      <c r="C6" s="28" t="s">
        <v>1209</v>
      </c>
      <c r="D6" s="28" t="s">
        <v>1210</v>
      </c>
      <c r="E6" s="28" t="s">
        <v>1211</v>
      </c>
      <c r="F6" s="38" t="s">
        <v>123</v>
      </c>
      <c r="G6" s="28" t="s">
        <v>1212</v>
      </c>
      <c r="H6" s="20" t="s">
        <v>1213</v>
      </c>
      <c r="I6" s="2"/>
      <c r="J6" s="2"/>
      <c r="K6" s="2"/>
    </row>
    <row r="7" customFormat="false" ht="35.05" hidden="false" customHeight="false" outlineLevel="0" collapsed="false">
      <c r="A7" s="28" t="s">
        <v>1214</v>
      </c>
      <c r="B7" s="28" t="s">
        <v>1201</v>
      </c>
      <c r="C7" s="28" t="s">
        <v>1215</v>
      </c>
      <c r="D7" s="28" t="s">
        <v>1216</v>
      </c>
      <c r="E7" s="28" t="s">
        <v>1217</v>
      </c>
      <c r="F7" s="38" t="s">
        <v>123</v>
      </c>
      <c r="G7" s="28" t="s">
        <v>1218</v>
      </c>
      <c r="H7" s="25" t="s">
        <v>1219</v>
      </c>
      <c r="I7" s="2"/>
      <c r="J7" s="2"/>
      <c r="K7" s="2"/>
    </row>
    <row r="8" customFormat="false" ht="23.85" hidden="false" customHeight="false" outlineLevel="0" collapsed="false">
      <c r="A8" s="28" t="s">
        <v>1220</v>
      </c>
      <c r="B8" s="28" t="s">
        <v>1221</v>
      </c>
      <c r="C8" s="28" t="s">
        <v>1222</v>
      </c>
      <c r="D8" s="28" t="s">
        <v>1223</v>
      </c>
      <c r="E8" s="28" t="s">
        <v>1224</v>
      </c>
      <c r="F8" s="38" t="s">
        <v>123</v>
      </c>
      <c r="G8" s="28" t="s">
        <v>1225</v>
      </c>
      <c r="H8" s="20" t="s">
        <v>1188</v>
      </c>
      <c r="I8" s="2"/>
      <c r="J8" s="2"/>
      <c r="K8" s="2"/>
    </row>
    <row r="9" customFormat="false" ht="23.85" hidden="false" customHeight="false" outlineLevel="0" collapsed="false">
      <c r="A9" s="28" t="s">
        <v>1226</v>
      </c>
      <c r="B9" s="28" t="s">
        <v>1221</v>
      </c>
      <c r="C9" s="28" t="s">
        <v>1227</v>
      </c>
      <c r="D9" s="28" t="s">
        <v>1228</v>
      </c>
      <c r="E9" s="28" t="s">
        <v>1229</v>
      </c>
      <c r="F9" s="38" t="s">
        <v>123</v>
      </c>
      <c r="G9" s="28" t="s">
        <v>1230</v>
      </c>
      <c r="H9" s="20" t="s">
        <v>1188</v>
      </c>
      <c r="I9" s="2"/>
      <c r="J9" s="2"/>
      <c r="K9" s="2"/>
    </row>
    <row r="10" customFormat="false" ht="23.85" hidden="false" customHeight="false" outlineLevel="0" collapsed="false">
      <c r="A10" s="28" t="s">
        <v>1231</v>
      </c>
      <c r="B10" s="28" t="s">
        <v>1232</v>
      </c>
      <c r="C10" s="28" t="s">
        <v>1233</v>
      </c>
      <c r="D10" s="28" t="s">
        <v>1234</v>
      </c>
      <c r="E10" s="28" t="s">
        <v>1235</v>
      </c>
      <c r="F10" s="38" t="s">
        <v>123</v>
      </c>
      <c r="G10" s="28" t="s">
        <v>1236</v>
      </c>
      <c r="H10" s="20" t="s">
        <v>1188</v>
      </c>
      <c r="I10" s="2"/>
      <c r="J10" s="2"/>
      <c r="K10" s="2"/>
    </row>
    <row r="11" customFormat="false" ht="23.85" hidden="false" customHeight="false" outlineLevel="0" collapsed="false">
      <c r="A11" s="28" t="s">
        <v>1237</v>
      </c>
      <c r="B11" s="28" t="s">
        <v>1208</v>
      </c>
      <c r="C11" s="28" t="s">
        <v>1238</v>
      </c>
      <c r="D11" s="28" t="s">
        <v>1239</v>
      </c>
      <c r="E11" s="28" t="s">
        <v>1240</v>
      </c>
      <c r="F11" s="38" t="s">
        <v>123</v>
      </c>
      <c r="G11" s="28" t="s">
        <v>1241</v>
      </c>
      <c r="H11" s="20" t="s">
        <v>1188</v>
      </c>
      <c r="I11" s="2"/>
      <c r="J11" s="2"/>
      <c r="K11" s="2"/>
    </row>
    <row r="12" customFormat="false" ht="23.85" hidden="false" customHeight="false" outlineLevel="0" collapsed="false">
      <c r="A12" s="28" t="s">
        <v>1242</v>
      </c>
      <c r="B12" s="28" t="s">
        <v>1190</v>
      </c>
      <c r="C12" s="28" t="s">
        <v>1243</v>
      </c>
      <c r="D12" s="28" t="s">
        <v>1244</v>
      </c>
      <c r="E12" s="28" t="s">
        <v>1245</v>
      </c>
      <c r="F12" s="38" t="s">
        <v>123</v>
      </c>
      <c r="G12" s="28" t="s">
        <v>1246</v>
      </c>
      <c r="H12" s="20" t="s">
        <v>1188</v>
      </c>
      <c r="I12" s="2"/>
      <c r="J12" s="2"/>
      <c r="K12" s="2"/>
    </row>
    <row r="13" customFormat="false" ht="23.85" hidden="false" customHeight="false" outlineLevel="0" collapsed="false">
      <c r="A13" s="28" t="s">
        <v>1247</v>
      </c>
      <c r="B13" s="28" t="s">
        <v>1201</v>
      </c>
      <c r="C13" s="28" t="s">
        <v>1248</v>
      </c>
      <c r="D13" s="28" t="s">
        <v>1249</v>
      </c>
      <c r="E13" s="28" t="s">
        <v>1250</v>
      </c>
      <c r="F13" s="38" t="s">
        <v>123</v>
      </c>
      <c r="G13" s="28" t="s">
        <v>1251</v>
      </c>
      <c r="H13" s="20" t="s">
        <v>1188</v>
      </c>
      <c r="I13" s="2"/>
      <c r="J13" s="2"/>
      <c r="K13" s="2"/>
    </row>
    <row r="14" customFormat="false" ht="23.85" hidden="false" customHeight="false" outlineLevel="0" collapsed="false">
      <c r="A14" s="28" t="s">
        <v>1252</v>
      </c>
      <c r="B14" s="28" t="s">
        <v>1253</v>
      </c>
      <c r="C14" s="28" t="s">
        <v>1254</v>
      </c>
      <c r="D14" s="28" t="s">
        <v>1255</v>
      </c>
      <c r="E14" s="28" t="s">
        <v>1256</v>
      </c>
      <c r="F14" s="23" t="s">
        <v>1257</v>
      </c>
      <c r="G14" s="28" t="s">
        <v>1258</v>
      </c>
      <c r="H14" s="24" t="s">
        <v>1259</v>
      </c>
      <c r="I14" s="2"/>
      <c r="J14" s="2"/>
      <c r="K14" s="2"/>
    </row>
    <row r="15" customFormat="false" ht="23.85" hidden="false" customHeight="false" outlineLevel="0" collapsed="false">
      <c r="A15" s="28" t="s">
        <v>1260</v>
      </c>
      <c r="B15" s="28" t="s">
        <v>1253</v>
      </c>
      <c r="C15" s="28" t="s">
        <v>1261</v>
      </c>
      <c r="D15" s="28" t="s">
        <v>1262</v>
      </c>
      <c r="E15" s="28" t="s">
        <v>1263</v>
      </c>
      <c r="F15" s="38" t="s">
        <v>123</v>
      </c>
      <c r="G15" s="28" t="s">
        <v>1264</v>
      </c>
      <c r="H15" s="25" t="s">
        <v>1265</v>
      </c>
      <c r="I15" s="2"/>
      <c r="J15" s="2"/>
      <c r="K15" s="2"/>
    </row>
    <row r="16" customFormat="false" ht="15" hidden="false" customHeight="false" outlineLevel="0" collapsed="false">
      <c r="A16" s="28" t="s">
        <v>1266</v>
      </c>
      <c r="B16" s="28" t="s">
        <v>500</v>
      </c>
      <c r="C16" s="28" t="s">
        <v>1267</v>
      </c>
      <c r="D16" s="28" t="s">
        <v>1268</v>
      </c>
      <c r="E16" s="28" t="s">
        <v>1269</v>
      </c>
      <c r="F16" s="22" t="s">
        <v>112</v>
      </c>
      <c r="G16" s="28" t="s">
        <v>1270</v>
      </c>
      <c r="H16" s="20" t="s">
        <v>1188</v>
      </c>
      <c r="I16" s="2"/>
      <c r="J16" s="2"/>
      <c r="K16" s="2"/>
    </row>
    <row r="17" customFormat="false" ht="23.85" hidden="false" customHeight="false" outlineLevel="0" collapsed="false">
      <c r="A17" s="28" t="s">
        <v>1271</v>
      </c>
      <c r="B17" s="28" t="s">
        <v>500</v>
      </c>
      <c r="C17" s="28" t="s">
        <v>1272</v>
      </c>
      <c r="D17" s="28" t="s">
        <v>1273</v>
      </c>
      <c r="E17" s="28" t="s">
        <v>1274</v>
      </c>
      <c r="F17" s="23" t="s">
        <v>1257</v>
      </c>
      <c r="G17" s="28" t="s">
        <v>1275</v>
      </c>
      <c r="H17" s="25" t="s">
        <v>1276</v>
      </c>
      <c r="I17" s="2"/>
      <c r="J17" s="2"/>
      <c r="K17" s="2"/>
    </row>
    <row r="18" customFormat="false" ht="23.85" hidden="false" customHeight="false" outlineLevel="0" collapsed="false">
      <c r="A18" s="28" t="s">
        <v>1277</v>
      </c>
      <c r="B18" s="28" t="s">
        <v>1221</v>
      </c>
      <c r="C18" s="28" t="s">
        <v>1278</v>
      </c>
      <c r="D18" s="28" t="s">
        <v>1279</v>
      </c>
      <c r="E18" s="28" t="s">
        <v>1280</v>
      </c>
      <c r="F18" s="23" t="s">
        <v>1257</v>
      </c>
      <c r="G18" s="28" t="s">
        <v>1281</v>
      </c>
      <c r="H18" s="20" t="s">
        <v>1282</v>
      </c>
      <c r="I18" s="2"/>
      <c r="J18" s="2"/>
      <c r="K18" s="2"/>
    </row>
    <row r="19" customFormat="false" ht="23.85" hidden="false" customHeight="false" outlineLevel="0" collapsed="false">
      <c r="A19" s="28" t="s">
        <v>1283</v>
      </c>
      <c r="B19" s="28" t="s">
        <v>1232</v>
      </c>
      <c r="C19" s="28" t="s">
        <v>1284</v>
      </c>
      <c r="D19" s="28" t="s">
        <v>1285</v>
      </c>
      <c r="E19" s="28" t="s">
        <v>1286</v>
      </c>
      <c r="F19" s="22" t="s">
        <v>112</v>
      </c>
      <c r="G19" s="28" t="s">
        <v>1287</v>
      </c>
      <c r="H19" s="25" t="s">
        <v>1288</v>
      </c>
      <c r="I19" s="2"/>
      <c r="J19" s="2"/>
      <c r="K19" s="2"/>
    </row>
    <row r="20" customFormat="false" ht="23.85" hidden="false" customHeight="false" outlineLevel="0" collapsed="false">
      <c r="A20" s="28" t="s">
        <v>1289</v>
      </c>
      <c r="B20" s="28" t="s">
        <v>1290</v>
      </c>
      <c r="C20" s="28" t="s">
        <v>1291</v>
      </c>
      <c r="D20" s="28" t="s">
        <v>1292</v>
      </c>
      <c r="E20" s="28" t="s">
        <v>1293</v>
      </c>
      <c r="F20" s="22" t="s">
        <v>112</v>
      </c>
      <c r="G20" s="28" t="s">
        <v>1294</v>
      </c>
      <c r="H20" s="20" t="s">
        <v>1295</v>
      </c>
      <c r="I20" s="2"/>
      <c r="J20" s="2"/>
      <c r="K20" s="2"/>
    </row>
    <row r="21" customFormat="false" ht="23.85" hidden="false" customHeight="false" outlineLevel="0" collapsed="false">
      <c r="A21" s="28" t="s">
        <v>1296</v>
      </c>
      <c r="B21" s="28" t="s">
        <v>500</v>
      </c>
      <c r="C21" s="28" t="s">
        <v>1297</v>
      </c>
      <c r="D21" s="28" t="s">
        <v>1298</v>
      </c>
      <c r="E21" s="28" t="s">
        <v>1299</v>
      </c>
      <c r="F21" s="23" t="s">
        <v>1257</v>
      </c>
      <c r="G21" s="28" t="s">
        <v>1300</v>
      </c>
      <c r="H21" s="20" t="s">
        <v>1301</v>
      </c>
      <c r="I21" s="2"/>
      <c r="J21" s="2"/>
      <c r="K21" s="2"/>
    </row>
    <row r="22" customFormat="false" ht="23.85" hidden="false" customHeight="false" outlineLevel="0" collapsed="false">
      <c r="A22" s="28" t="s">
        <v>1302</v>
      </c>
      <c r="B22" s="28" t="s">
        <v>1208</v>
      </c>
      <c r="C22" s="28" t="s">
        <v>1303</v>
      </c>
      <c r="D22" s="28" t="s">
        <v>1304</v>
      </c>
      <c r="E22" s="28" t="s">
        <v>1305</v>
      </c>
      <c r="F22" s="22" t="s">
        <v>112</v>
      </c>
      <c r="G22" s="28" t="s">
        <v>1306</v>
      </c>
      <c r="H22" s="20" t="s">
        <v>1188</v>
      </c>
      <c r="I22" s="2"/>
      <c r="J22" s="2"/>
      <c r="K22" s="2"/>
    </row>
    <row r="23" customFormat="false" ht="23.85" hidden="false" customHeight="false" outlineLevel="0" collapsed="false">
      <c r="A23" s="28" t="s">
        <v>1307</v>
      </c>
      <c r="B23" s="28" t="s">
        <v>1253</v>
      </c>
      <c r="C23" s="28" t="s">
        <v>1308</v>
      </c>
      <c r="D23" s="28" t="s">
        <v>1309</v>
      </c>
      <c r="E23" s="28" t="s">
        <v>1310</v>
      </c>
      <c r="F23" s="22" t="s">
        <v>112</v>
      </c>
      <c r="G23" s="28" t="s">
        <v>1311</v>
      </c>
      <c r="H23" s="25" t="s">
        <v>1288</v>
      </c>
      <c r="I23" s="2"/>
      <c r="J23" s="2"/>
      <c r="K23" s="2"/>
    </row>
    <row r="24" customFormat="false" ht="46.25" hidden="false" customHeight="false" outlineLevel="0" collapsed="false">
      <c r="A24" s="28" t="s">
        <v>1312</v>
      </c>
      <c r="B24" s="28" t="s">
        <v>500</v>
      </c>
      <c r="C24" s="28" t="s">
        <v>1313</v>
      </c>
      <c r="D24" s="28" t="s">
        <v>1314</v>
      </c>
      <c r="E24" s="28" t="s">
        <v>1315</v>
      </c>
      <c r="F24" s="23" t="s">
        <v>1257</v>
      </c>
      <c r="G24" s="28" t="s">
        <v>1316</v>
      </c>
      <c r="H24" s="20" t="s">
        <v>1317</v>
      </c>
      <c r="I24" s="2"/>
      <c r="J24" s="2"/>
      <c r="K24" s="2"/>
    </row>
    <row r="25" customFormat="false" ht="35.05" hidden="false" customHeight="false" outlineLevel="0" collapsed="false">
      <c r="A25" s="28" t="s">
        <v>1318</v>
      </c>
      <c r="B25" s="28" t="s">
        <v>500</v>
      </c>
      <c r="C25" s="28" t="s">
        <v>1319</v>
      </c>
      <c r="D25" s="28" t="s">
        <v>1320</v>
      </c>
      <c r="E25" s="28" t="s">
        <v>1321</v>
      </c>
      <c r="F25" s="23" t="s">
        <v>1257</v>
      </c>
      <c r="G25" s="28" t="s">
        <v>1322</v>
      </c>
      <c r="H25" s="20" t="s">
        <v>1323</v>
      </c>
      <c r="I25" s="2"/>
      <c r="J25" s="2"/>
      <c r="K25" s="2"/>
    </row>
    <row r="26" customFormat="false" ht="35.05" hidden="false" customHeight="false" outlineLevel="0" collapsed="false">
      <c r="A26" s="28" t="s">
        <v>1324</v>
      </c>
      <c r="B26" s="28" t="s">
        <v>500</v>
      </c>
      <c r="C26" s="28" t="s">
        <v>1325</v>
      </c>
      <c r="D26" s="28" t="s">
        <v>1326</v>
      </c>
      <c r="E26" s="28" t="s">
        <v>1327</v>
      </c>
      <c r="F26" s="22" t="s">
        <v>112</v>
      </c>
      <c r="G26" s="28" t="s">
        <v>1328</v>
      </c>
      <c r="H26" s="20" t="s">
        <v>1329</v>
      </c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39" t="s">
        <v>1330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0" t="s">
        <v>1331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8" t="s">
        <v>91</v>
      </c>
      <c r="B4" s="18" t="s">
        <v>1332</v>
      </c>
      <c r="C4" s="18" t="s">
        <v>1333</v>
      </c>
      <c r="D4" s="18" t="s">
        <v>1334</v>
      </c>
      <c r="E4" s="18" t="s">
        <v>1335</v>
      </c>
      <c r="F4" s="18" t="s">
        <v>248</v>
      </c>
      <c r="G4" s="2"/>
      <c r="H4" s="2"/>
      <c r="I4" s="2"/>
    </row>
    <row r="5" customFormat="false" ht="35.05" hidden="false" customHeight="false" outlineLevel="0" collapsed="false">
      <c r="A5" s="28" t="s">
        <v>1336</v>
      </c>
      <c r="B5" s="28" t="s">
        <v>1337</v>
      </c>
      <c r="C5" s="28" t="s">
        <v>1338</v>
      </c>
      <c r="D5" s="41" t="s">
        <v>1339</v>
      </c>
      <c r="E5" s="28" t="s">
        <v>1340</v>
      </c>
      <c r="F5" s="28" t="s">
        <v>1341</v>
      </c>
      <c r="G5" s="2"/>
      <c r="H5" s="2"/>
      <c r="I5" s="2"/>
    </row>
    <row r="6" customFormat="false" ht="23.85" hidden="false" customHeight="false" outlineLevel="0" collapsed="false">
      <c r="A6" s="28" t="s">
        <v>1342</v>
      </c>
      <c r="B6" s="28" t="s">
        <v>1343</v>
      </c>
      <c r="C6" s="28" t="s">
        <v>1344</v>
      </c>
      <c r="D6" s="21" t="s">
        <v>1345</v>
      </c>
      <c r="E6" s="28" t="s">
        <v>1346</v>
      </c>
      <c r="F6" s="28" t="s">
        <v>1347</v>
      </c>
      <c r="G6" s="2"/>
      <c r="H6" s="2"/>
      <c r="I6" s="2"/>
    </row>
    <row r="7" customFormat="false" ht="23.85" hidden="false" customHeight="false" outlineLevel="0" collapsed="false">
      <c r="A7" s="28" t="s">
        <v>1348</v>
      </c>
      <c r="B7" s="28" t="s">
        <v>1349</v>
      </c>
      <c r="C7" s="28" t="s">
        <v>1350</v>
      </c>
      <c r="D7" s="21" t="s">
        <v>1345</v>
      </c>
      <c r="E7" s="28" t="s">
        <v>1351</v>
      </c>
      <c r="F7" s="28"/>
      <c r="G7" s="2"/>
      <c r="H7" s="2"/>
      <c r="I7" s="2"/>
    </row>
    <row r="8" customFormat="false" ht="23.85" hidden="false" customHeight="false" outlineLevel="0" collapsed="false">
      <c r="A8" s="28" t="s">
        <v>1352</v>
      </c>
      <c r="B8" s="28" t="s">
        <v>1353</v>
      </c>
      <c r="C8" s="28" t="s">
        <v>1354</v>
      </c>
      <c r="D8" s="21" t="s">
        <v>1345</v>
      </c>
      <c r="E8" s="28" t="s">
        <v>1355</v>
      </c>
      <c r="F8" s="28"/>
      <c r="G8" s="2"/>
      <c r="H8" s="2"/>
      <c r="I8" s="2"/>
    </row>
    <row r="9" customFormat="false" ht="23.85" hidden="false" customHeight="false" outlineLevel="0" collapsed="false">
      <c r="A9" s="28" t="s">
        <v>1356</v>
      </c>
      <c r="B9" s="28" t="s">
        <v>1357</v>
      </c>
      <c r="C9" s="28" t="s">
        <v>1358</v>
      </c>
      <c r="D9" s="21" t="s">
        <v>1345</v>
      </c>
      <c r="E9" s="28" t="s">
        <v>1359</v>
      </c>
      <c r="F9" s="28"/>
      <c r="G9" s="2"/>
      <c r="H9" s="2"/>
      <c r="I9" s="2"/>
    </row>
    <row r="10" customFormat="false" ht="23.85" hidden="false" customHeight="false" outlineLevel="0" collapsed="false">
      <c r="A10" s="28" t="s">
        <v>1360</v>
      </c>
      <c r="B10" s="28" t="s">
        <v>1361</v>
      </c>
      <c r="C10" s="28" t="s">
        <v>1362</v>
      </c>
      <c r="D10" s="21" t="s">
        <v>1345</v>
      </c>
      <c r="E10" s="28" t="s">
        <v>1363</v>
      </c>
      <c r="F10" s="28" t="s">
        <v>1364</v>
      </c>
      <c r="G10" s="2"/>
      <c r="H10" s="2"/>
      <c r="I10" s="2"/>
    </row>
    <row r="11" customFormat="false" ht="23.85" hidden="false" customHeight="false" outlineLevel="0" collapsed="false">
      <c r="A11" s="28" t="s">
        <v>1365</v>
      </c>
      <c r="B11" s="28" t="s">
        <v>1366</v>
      </c>
      <c r="C11" s="28" t="s">
        <v>1367</v>
      </c>
      <c r="D11" s="21" t="s">
        <v>1345</v>
      </c>
      <c r="E11" s="28" t="s">
        <v>1368</v>
      </c>
      <c r="F11" s="28"/>
      <c r="G11" s="2"/>
      <c r="H11" s="2"/>
      <c r="I11" s="2"/>
    </row>
    <row r="12" customFormat="false" ht="23.85" hidden="false" customHeight="false" outlineLevel="0" collapsed="false">
      <c r="A12" s="28" t="s">
        <v>1369</v>
      </c>
      <c r="B12" s="28" t="s">
        <v>1370</v>
      </c>
      <c r="C12" s="28" t="s">
        <v>1371</v>
      </c>
      <c r="D12" s="21" t="s">
        <v>1345</v>
      </c>
      <c r="E12" s="28" t="s">
        <v>1372</v>
      </c>
      <c r="F12" s="28"/>
      <c r="G12" s="2"/>
      <c r="H12" s="2"/>
      <c r="I12" s="2"/>
    </row>
    <row r="13" customFormat="false" ht="46.25" hidden="false" customHeight="false" outlineLevel="0" collapsed="false">
      <c r="A13" s="28" t="s">
        <v>1373</v>
      </c>
      <c r="B13" s="28" t="s">
        <v>1374</v>
      </c>
      <c r="C13" s="28" t="s">
        <v>1375</v>
      </c>
      <c r="D13" s="22" t="s">
        <v>1376</v>
      </c>
      <c r="E13" s="28" t="s">
        <v>1377</v>
      </c>
      <c r="F13" s="28" t="s">
        <v>1378</v>
      </c>
      <c r="G13" s="2"/>
      <c r="H13" s="2"/>
      <c r="I13" s="2"/>
    </row>
    <row r="14" customFormat="false" ht="23.85" hidden="false" customHeight="false" outlineLevel="0" collapsed="false">
      <c r="A14" s="28" t="s">
        <v>1379</v>
      </c>
      <c r="B14" s="28" t="s">
        <v>1380</v>
      </c>
      <c r="C14" s="28" t="s">
        <v>1381</v>
      </c>
      <c r="D14" s="21" t="s">
        <v>1345</v>
      </c>
      <c r="E14" s="28" t="s">
        <v>1382</v>
      </c>
      <c r="F14" s="28"/>
      <c r="G14" s="2"/>
      <c r="H14" s="2"/>
      <c r="I14" s="2"/>
    </row>
    <row r="15" customFormat="false" ht="23.85" hidden="false" customHeight="false" outlineLevel="0" collapsed="false">
      <c r="A15" s="28" t="s">
        <v>1383</v>
      </c>
      <c r="B15" s="28" t="s">
        <v>1384</v>
      </c>
      <c r="C15" s="28" t="s">
        <v>1385</v>
      </c>
      <c r="D15" s="21" t="s">
        <v>1345</v>
      </c>
      <c r="E15" s="28" t="s">
        <v>1386</v>
      </c>
      <c r="F15" s="28" t="s">
        <v>1387</v>
      </c>
      <c r="G15" s="2"/>
      <c r="H15" s="2"/>
      <c r="I15" s="2"/>
    </row>
    <row r="16" customFormat="false" ht="15" hidden="false" customHeight="false" outlineLevel="0" collapsed="false">
      <c r="A16" s="28" t="s">
        <v>1388</v>
      </c>
      <c r="B16" s="28" t="s">
        <v>1389</v>
      </c>
      <c r="C16" s="28" t="s">
        <v>1390</v>
      </c>
      <c r="D16" s="21" t="s">
        <v>1345</v>
      </c>
      <c r="E16" s="28" t="s">
        <v>1391</v>
      </c>
      <c r="F16" s="28"/>
      <c r="G16" s="2"/>
      <c r="H16" s="2"/>
      <c r="I16" s="2"/>
    </row>
    <row r="17" customFormat="false" ht="15" hidden="false" customHeight="false" outlineLevel="0" collapsed="false">
      <c r="A17" s="28" t="s">
        <v>1392</v>
      </c>
      <c r="B17" s="28" t="s">
        <v>1393</v>
      </c>
      <c r="C17" s="28" t="s">
        <v>1394</v>
      </c>
      <c r="D17" s="21" t="s">
        <v>1345</v>
      </c>
      <c r="E17" s="28" t="s">
        <v>1395</v>
      </c>
      <c r="F17" s="28"/>
      <c r="G17" s="2"/>
      <c r="H17" s="2"/>
      <c r="I17" s="2"/>
    </row>
    <row r="18" customFormat="false" ht="23.85" hidden="false" customHeight="false" outlineLevel="0" collapsed="false">
      <c r="A18" s="28" t="s">
        <v>1396</v>
      </c>
      <c r="B18" s="28" t="s">
        <v>1397</v>
      </c>
      <c r="C18" s="28" t="s">
        <v>1398</v>
      </c>
      <c r="D18" s="21" t="s">
        <v>1345</v>
      </c>
      <c r="E18" s="28" t="s">
        <v>1399</v>
      </c>
      <c r="F18" s="28"/>
      <c r="G18" s="2"/>
      <c r="H18" s="2"/>
      <c r="I18" s="2"/>
    </row>
    <row r="19" customFormat="false" ht="15" hidden="false" customHeight="false" outlineLevel="0" collapsed="false">
      <c r="A19" s="28" t="s">
        <v>1400</v>
      </c>
      <c r="B19" s="28" t="s">
        <v>1401</v>
      </c>
      <c r="C19" s="28" t="s">
        <v>1402</v>
      </c>
      <c r="D19" s="21" t="s">
        <v>1345</v>
      </c>
      <c r="E19" s="28" t="s">
        <v>1403</v>
      </c>
      <c r="F19" s="28"/>
      <c r="G19" s="2"/>
      <c r="H19" s="2"/>
      <c r="I19" s="2"/>
    </row>
    <row r="20" customFormat="false" ht="23.85" hidden="false" customHeight="false" outlineLevel="0" collapsed="false">
      <c r="A20" s="28" t="s">
        <v>1404</v>
      </c>
      <c r="B20" s="28" t="s">
        <v>1405</v>
      </c>
      <c r="C20" s="28" t="s">
        <v>1406</v>
      </c>
      <c r="D20" s="21" t="s">
        <v>1345</v>
      </c>
      <c r="E20" s="28" t="s">
        <v>1407</v>
      </c>
      <c r="F20" s="28"/>
      <c r="G20" s="2"/>
      <c r="H20" s="2"/>
      <c r="I20" s="2"/>
    </row>
    <row r="21" customFormat="false" ht="23.85" hidden="false" customHeight="false" outlineLevel="0" collapsed="false">
      <c r="A21" s="28" t="s">
        <v>1408</v>
      </c>
      <c r="B21" s="28" t="s">
        <v>1409</v>
      </c>
      <c r="C21" s="28" t="s">
        <v>1410</v>
      </c>
      <c r="D21" s="41" t="s">
        <v>1339</v>
      </c>
      <c r="E21" s="28" t="s">
        <v>1411</v>
      </c>
      <c r="F21" s="28"/>
      <c r="G21" s="2"/>
      <c r="H21" s="2"/>
      <c r="I21" s="2"/>
    </row>
    <row r="22" customFormat="false" ht="23.85" hidden="false" customHeight="false" outlineLevel="0" collapsed="false">
      <c r="A22" s="28" t="s">
        <v>1412</v>
      </c>
      <c r="B22" s="28" t="s">
        <v>1413</v>
      </c>
      <c r="C22" s="28" t="s">
        <v>1414</v>
      </c>
      <c r="D22" s="21" t="s">
        <v>1345</v>
      </c>
      <c r="E22" s="28" t="s">
        <v>1415</v>
      </c>
      <c r="F22" s="28"/>
      <c r="G22" s="2"/>
      <c r="H22" s="2"/>
      <c r="I22" s="2"/>
    </row>
    <row r="23" customFormat="false" ht="46.25" hidden="false" customHeight="false" outlineLevel="0" collapsed="false">
      <c r="A23" s="28" t="s">
        <v>1416</v>
      </c>
      <c r="B23" s="28" t="s">
        <v>1417</v>
      </c>
      <c r="C23" s="28" t="s">
        <v>1418</v>
      </c>
      <c r="D23" s="21" t="s">
        <v>1345</v>
      </c>
      <c r="E23" s="28" t="s">
        <v>1419</v>
      </c>
      <c r="F23" s="28" t="s">
        <v>1420</v>
      </c>
      <c r="G23" s="2"/>
      <c r="H23" s="2"/>
      <c r="I23" s="2"/>
    </row>
    <row r="24" customFormat="false" ht="23.85" hidden="false" customHeight="false" outlineLevel="0" collapsed="false">
      <c r="A24" s="28" t="s">
        <v>1421</v>
      </c>
      <c r="B24" s="28" t="s">
        <v>1422</v>
      </c>
      <c r="C24" s="28" t="s">
        <v>1423</v>
      </c>
      <c r="D24" s="21" t="s">
        <v>1345</v>
      </c>
      <c r="E24" s="28" t="s">
        <v>1424</v>
      </c>
      <c r="F24" s="28"/>
      <c r="G24" s="2"/>
      <c r="H24" s="2"/>
      <c r="I24" s="2"/>
    </row>
    <row r="25" customFormat="false" ht="35.05" hidden="false" customHeight="false" outlineLevel="0" collapsed="false">
      <c r="A25" s="28" t="s">
        <v>1425</v>
      </c>
      <c r="B25" s="28" t="s">
        <v>1426</v>
      </c>
      <c r="C25" s="28" t="s">
        <v>1427</v>
      </c>
      <c r="D25" s="41" t="s">
        <v>1339</v>
      </c>
      <c r="E25" s="28" t="s">
        <v>1428</v>
      </c>
      <c r="F25" s="28" t="s">
        <v>1429</v>
      </c>
      <c r="G25" s="2"/>
      <c r="H25" s="2"/>
      <c r="I25" s="2"/>
    </row>
    <row r="26" customFormat="false" ht="35.05" hidden="false" customHeight="false" outlineLevel="0" collapsed="false">
      <c r="A26" s="28" t="s">
        <v>1430</v>
      </c>
      <c r="B26" s="28" t="s">
        <v>1431</v>
      </c>
      <c r="C26" s="28" t="s">
        <v>1432</v>
      </c>
      <c r="D26" s="41" t="s">
        <v>1339</v>
      </c>
      <c r="E26" s="28" t="s">
        <v>1433</v>
      </c>
      <c r="F26" s="28" t="s">
        <v>1434</v>
      </c>
      <c r="G26" s="2"/>
      <c r="H26" s="2"/>
      <c r="I26" s="2"/>
    </row>
    <row r="27" customFormat="false" ht="23.85" hidden="false" customHeight="false" outlineLevel="0" collapsed="false">
      <c r="A27" s="28" t="s">
        <v>1435</v>
      </c>
      <c r="B27" s="28" t="s">
        <v>1436</v>
      </c>
      <c r="C27" s="28" t="s">
        <v>1437</v>
      </c>
      <c r="D27" s="41" t="s">
        <v>1339</v>
      </c>
      <c r="E27" s="28" t="s">
        <v>1438</v>
      </c>
      <c r="F27" s="28" t="s">
        <v>1439</v>
      </c>
      <c r="G27" s="2"/>
      <c r="H27" s="2"/>
      <c r="I27" s="2"/>
    </row>
    <row r="28" customFormat="false" ht="23.85" hidden="false" customHeight="false" outlineLevel="0" collapsed="false">
      <c r="A28" s="28" t="s">
        <v>1440</v>
      </c>
      <c r="B28" s="28" t="s">
        <v>1441</v>
      </c>
      <c r="C28" s="28" t="s">
        <v>1442</v>
      </c>
      <c r="D28" s="21" t="s">
        <v>1345</v>
      </c>
      <c r="E28" s="28" t="s">
        <v>1443</v>
      </c>
      <c r="F28" s="28" t="s">
        <v>1444</v>
      </c>
      <c r="G28" s="2"/>
      <c r="H28" s="2"/>
      <c r="I28" s="2"/>
    </row>
    <row r="29" customFormat="false" ht="23.85" hidden="false" customHeight="false" outlineLevel="0" collapsed="false">
      <c r="A29" s="28" t="s">
        <v>1445</v>
      </c>
      <c r="B29" s="28" t="s">
        <v>1446</v>
      </c>
      <c r="C29" s="28" t="s">
        <v>1447</v>
      </c>
      <c r="D29" s="21" t="s">
        <v>1345</v>
      </c>
      <c r="E29" s="28" t="s">
        <v>1448</v>
      </c>
      <c r="F29" s="28" t="s">
        <v>1449</v>
      </c>
      <c r="G29" s="2"/>
      <c r="H29" s="2"/>
      <c r="I29" s="2"/>
    </row>
    <row r="30" customFormat="false" ht="23.85" hidden="false" customHeight="false" outlineLevel="0" collapsed="false">
      <c r="A30" s="28" t="s">
        <v>1450</v>
      </c>
      <c r="B30" s="28" t="s">
        <v>1451</v>
      </c>
      <c r="C30" s="28" t="s">
        <v>1452</v>
      </c>
      <c r="D30" s="41" t="s">
        <v>1339</v>
      </c>
      <c r="E30" s="28" t="s">
        <v>1453</v>
      </c>
      <c r="F30" s="28" t="s">
        <v>1454</v>
      </c>
      <c r="G30" s="2"/>
      <c r="H30" s="2"/>
      <c r="I30" s="2"/>
    </row>
    <row r="31" customFormat="false" ht="35.05" hidden="false" customHeight="false" outlineLevel="0" collapsed="false">
      <c r="A31" s="28" t="s">
        <v>1455</v>
      </c>
      <c r="B31" s="28" t="s">
        <v>1456</v>
      </c>
      <c r="C31" s="28" t="s">
        <v>1457</v>
      </c>
      <c r="D31" s="41" t="s">
        <v>1339</v>
      </c>
      <c r="E31" s="28" t="s">
        <v>1458</v>
      </c>
      <c r="F31" s="28" t="s">
        <v>1459</v>
      </c>
      <c r="G31" s="2"/>
      <c r="H31" s="2"/>
      <c r="I31" s="2"/>
    </row>
    <row r="32" customFormat="false" ht="23.85" hidden="false" customHeight="false" outlineLevel="0" collapsed="false">
      <c r="A32" s="28" t="s">
        <v>1460</v>
      </c>
      <c r="B32" s="28" t="s">
        <v>1461</v>
      </c>
      <c r="C32" s="28" t="s">
        <v>1462</v>
      </c>
      <c r="D32" s="41" t="s">
        <v>1339</v>
      </c>
      <c r="E32" s="28" t="s">
        <v>1463</v>
      </c>
      <c r="F32" s="28" t="s">
        <v>1464</v>
      </c>
      <c r="G32" s="2"/>
      <c r="H32" s="2"/>
      <c r="I32" s="2"/>
    </row>
    <row r="33" customFormat="false" ht="23.85" hidden="false" customHeight="false" outlineLevel="0" collapsed="false">
      <c r="A33" s="28" t="s">
        <v>1465</v>
      </c>
      <c r="B33" s="28" t="s">
        <v>1466</v>
      </c>
      <c r="C33" s="28" t="s">
        <v>1467</v>
      </c>
      <c r="D33" s="41" t="s">
        <v>1339</v>
      </c>
      <c r="E33" s="28" t="s">
        <v>1468</v>
      </c>
      <c r="F33" s="28" t="s">
        <v>1469</v>
      </c>
      <c r="G33" s="2"/>
      <c r="H33" s="2"/>
      <c r="I33" s="2"/>
    </row>
    <row r="34" customFormat="false" ht="23.85" hidden="false" customHeight="false" outlineLevel="0" collapsed="false">
      <c r="A34" s="28" t="s">
        <v>1470</v>
      </c>
      <c r="B34" s="28" t="s">
        <v>1471</v>
      </c>
      <c r="C34" s="28" t="s">
        <v>1472</v>
      </c>
      <c r="D34" s="41" t="s">
        <v>1339</v>
      </c>
      <c r="E34" s="28" t="s">
        <v>1473</v>
      </c>
      <c r="F34" s="28" t="s">
        <v>1474</v>
      </c>
      <c r="G34" s="2"/>
      <c r="H34" s="2"/>
      <c r="I34" s="2"/>
    </row>
    <row r="35" customFormat="false" ht="23.85" hidden="false" customHeight="false" outlineLevel="0" collapsed="false">
      <c r="A35" s="28" t="s">
        <v>1475</v>
      </c>
      <c r="B35" s="28" t="s">
        <v>1476</v>
      </c>
      <c r="C35" s="28" t="s">
        <v>1477</v>
      </c>
      <c r="D35" s="41" t="s">
        <v>1339</v>
      </c>
      <c r="E35" s="28" t="s">
        <v>1478</v>
      </c>
      <c r="F35" s="28" t="s">
        <v>1479</v>
      </c>
      <c r="G35" s="2"/>
      <c r="H35" s="2"/>
      <c r="I35" s="2"/>
    </row>
    <row r="36" customFormat="false" ht="23.85" hidden="false" customHeight="false" outlineLevel="0" collapsed="false">
      <c r="A36" s="28" t="s">
        <v>1480</v>
      </c>
      <c r="B36" s="28" t="s">
        <v>1481</v>
      </c>
      <c r="C36" s="28" t="s">
        <v>1482</v>
      </c>
      <c r="D36" s="41" t="s">
        <v>1339</v>
      </c>
      <c r="E36" s="28" t="s">
        <v>1483</v>
      </c>
      <c r="F36" s="28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2.05" hidden="false" customHeight="false" outlineLevel="0" collapsed="false">
      <c r="A1" s="16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4" t="s">
        <v>1485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3" t="s">
        <v>1486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23.85" hidden="false" customHeight="false" outlineLevel="0" collapsed="false">
      <c r="A5" s="31" t="s">
        <v>1487</v>
      </c>
      <c r="B5" s="31" t="s">
        <v>1488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7" t="s">
        <v>1489</v>
      </c>
      <c r="B6" s="42" t="n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7" t="s">
        <v>1490</v>
      </c>
      <c r="B7" s="42" t="n">
        <v>0.5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7" t="s">
        <v>1491</v>
      </c>
      <c r="B8" s="43" t="n">
        <v>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33" t="s">
        <v>1492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31" t="s">
        <v>91</v>
      </c>
      <c r="B11" s="31" t="s">
        <v>1493</v>
      </c>
      <c r="C11" s="31" t="s">
        <v>1494</v>
      </c>
      <c r="D11" s="31" t="s">
        <v>1495</v>
      </c>
      <c r="E11" s="31" t="s">
        <v>1496</v>
      </c>
      <c r="F11" s="31" t="s">
        <v>1497</v>
      </c>
      <c r="G11" s="31" t="s">
        <v>1498</v>
      </c>
      <c r="H11" s="31" t="s">
        <v>1499</v>
      </c>
      <c r="I11" s="31" t="s">
        <v>1500</v>
      </c>
      <c r="J11" s="31" t="s">
        <v>248</v>
      </c>
      <c r="K11" s="2"/>
      <c r="L11" s="2"/>
      <c r="M11" s="2"/>
    </row>
    <row r="12" customFormat="false" ht="15" hidden="false" customHeight="false" outlineLevel="0" collapsed="false">
      <c r="A12" s="7" t="s">
        <v>1501</v>
      </c>
      <c r="B12" s="7" t="s">
        <v>53</v>
      </c>
      <c r="C12" s="7" t="n">
        <v>2</v>
      </c>
      <c r="D12" s="7" t="n">
        <f aca="false">C12*$B$8</f>
        <v>50</v>
      </c>
      <c r="E12" s="44"/>
      <c r="F12" s="45" t="n">
        <f aca="false">N(E12)*$B$6</f>
        <v>0</v>
      </c>
      <c r="G12" s="44"/>
      <c r="H12" s="45" t="n">
        <f aca="false">N(G12)*$B$7</f>
        <v>0</v>
      </c>
      <c r="I12" s="45" t="n">
        <f aca="false">F12+H12</f>
        <v>0</v>
      </c>
      <c r="J12" s="8"/>
      <c r="K12" s="2"/>
      <c r="L12" s="2"/>
      <c r="M12" s="2"/>
    </row>
    <row r="13" customFormat="false" ht="15" hidden="false" customHeight="false" outlineLevel="0" collapsed="false">
      <c r="A13" s="7" t="s">
        <v>1502</v>
      </c>
      <c r="B13" s="7" t="s">
        <v>1130</v>
      </c>
      <c r="C13" s="7" t="n">
        <v>4</v>
      </c>
      <c r="D13" s="7" t="n">
        <f aca="false">C13*$B$8</f>
        <v>100</v>
      </c>
      <c r="E13" s="44"/>
      <c r="F13" s="45" t="n">
        <f aca="false">N(E13)*$B$6</f>
        <v>0</v>
      </c>
      <c r="G13" s="44"/>
      <c r="H13" s="45" t="n">
        <f aca="false">N(G13)*$B$7</f>
        <v>0</v>
      </c>
      <c r="I13" s="45" t="n">
        <f aca="false">F13+H13</f>
        <v>0</v>
      </c>
      <c r="J13" s="8"/>
      <c r="K13" s="2"/>
      <c r="L13" s="2"/>
      <c r="M13" s="2"/>
    </row>
    <row r="14" customFormat="false" ht="15" hidden="false" customHeight="false" outlineLevel="0" collapsed="false">
      <c r="A14" s="7" t="s">
        <v>1503</v>
      </c>
      <c r="B14" s="7" t="s">
        <v>1131</v>
      </c>
      <c r="C14" s="7" t="n">
        <v>3</v>
      </c>
      <c r="D14" s="7" t="n">
        <f aca="false">C14*$B$8</f>
        <v>75</v>
      </c>
      <c r="E14" s="44"/>
      <c r="F14" s="45" t="n">
        <f aca="false">N(E14)*$B$6</f>
        <v>0</v>
      </c>
      <c r="G14" s="44"/>
      <c r="H14" s="45" t="n">
        <f aca="false">N(G14)*$B$7</f>
        <v>0</v>
      </c>
      <c r="I14" s="45" t="n">
        <f aca="false">F14+H14</f>
        <v>0</v>
      </c>
      <c r="J14" s="8"/>
      <c r="K14" s="2"/>
      <c r="L14" s="2"/>
      <c r="M14" s="2"/>
    </row>
    <row r="15" customFormat="false" ht="15" hidden="false" customHeight="false" outlineLevel="0" collapsed="false">
      <c r="A15" s="7" t="s">
        <v>1504</v>
      </c>
      <c r="B15" s="7" t="s">
        <v>57</v>
      </c>
      <c r="C15" s="7" t="n">
        <v>3</v>
      </c>
      <c r="D15" s="7" t="n">
        <f aca="false">C15*$B$8</f>
        <v>75</v>
      </c>
      <c r="E15" s="44"/>
      <c r="F15" s="45" t="n">
        <f aca="false">N(E15)*$B$6</f>
        <v>0</v>
      </c>
      <c r="G15" s="44"/>
      <c r="H15" s="45" t="n">
        <f aca="false">N(G15)*$B$7</f>
        <v>0</v>
      </c>
      <c r="I15" s="45" t="n">
        <f aca="false">F15+H15</f>
        <v>0</v>
      </c>
      <c r="J15" s="8"/>
      <c r="K15" s="2"/>
      <c r="L15" s="2"/>
      <c r="M15" s="2"/>
    </row>
    <row r="16" customFormat="false" ht="15" hidden="false" customHeight="false" outlineLevel="0" collapsed="false">
      <c r="A16" s="7" t="s">
        <v>1505</v>
      </c>
      <c r="B16" s="7" t="s">
        <v>1132</v>
      </c>
      <c r="C16" s="7" t="n">
        <v>2</v>
      </c>
      <c r="D16" s="7" t="n">
        <f aca="false">C16*$B$8</f>
        <v>50</v>
      </c>
      <c r="E16" s="44"/>
      <c r="F16" s="45" t="n">
        <f aca="false">N(E16)*$B$6</f>
        <v>0</v>
      </c>
      <c r="G16" s="44"/>
      <c r="H16" s="45" t="n">
        <f aca="false">N(G16)*$B$7</f>
        <v>0</v>
      </c>
      <c r="I16" s="45" t="n">
        <f aca="false">F16+H16</f>
        <v>0</v>
      </c>
      <c r="J16" s="8"/>
      <c r="K16" s="2"/>
      <c r="L16" s="2"/>
      <c r="M16" s="2"/>
    </row>
    <row r="17" customFormat="false" ht="15" hidden="false" customHeight="false" outlineLevel="0" collapsed="false">
      <c r="A17" s="7" t="s">
        <v>1506</v>
      </c>
      <c r="B17" s="7" t="s">
        <v>59</v>
      </c>
      <c r="C17" s="7" t="n">
        <v>2</v>
      </c>
      <c r="D17" s="7" t="n">
        <f aca="false">C17*$B$8</f>
        <v>50</v>
      </c>
      <c r="E17" s="44"/>
      <c r="F17" s="45" t="n">
        <f aca="false">N(E17)*$B$6</f>
        <v>0</v>
      </c>
      <c r="G17" s="44"/>
      <c r="H17" s="45" t="n">
        <f aca="false">N(G17)*$B$7</f>
        <v>0</v>
      </c>
      <c r="I17" s="45" t="n">
        <f aca="false">F17+H17</f>
        <v>0</v>
      </c>
      <c r="J17" s="8"/>
      <c r="K17" s="2"/>
      <c r="L17" s="2"/>
      <c r="M17" s="2"/>
    </row>
    <row r="18" customFormat="false" ht="15" hidden="false" customHeight="false" outlineLevel="0" collapsed="false">
      <c r="A18" s="7" t="s">
        <v>1507</v>
      </c>
      <c r="B18" s="7" t="s">
        <v>1133</v>
      </c>
      <c r="C18" s="7" t="n">
        <v>2</v>
      </c>
      <c r="D18" s="7" t="n">
        <f aca="false">C18*$B$8</f>
        <v>50</v>
      </c>
      <c r="E18" s="46" t="n">
        <v>1.5</v>
      </c>
      <c r="F18" s="45" t="n">
        <f aca="false">N(E18)*$B$6</f>
        <v>30</v>
      </c>
      <c r="G18" s="46" t="n">
        <v>6</v>
      </c>
      <c r="H18" s="45" t="n">
        <f aca="false">N(G18)*$B$7</f>
        <v>3</v>
      </c>
      <c r="I18" s="45" t="n">
        <f aca="false">F18+H18</f>
        <v>33</v>
      </c>
      <c r="J18" s="7" t="s">
        <v>1508</v>
      </c>
      <c r="K18" s="2"/>
      <c r="L18" s="2"/>
      <c r="M18" s="2"/>
    </row>
    <row r="19" customFormat="false" ht="15" hidden="false" customHeight="false" outlineLevel="0" collapsed="false">
      <c r="A19" s="7" t="s">
        <v>1509</v>
      </c>
      <c r="B19" s="7" t="s">
        <v>1134</v>
      </c>
      <c r="C19" s="7" t="n">
        <v>2</v>
      </c>
      <c r="D19" s="7" t="n">
        <f aca="false">C19*$B$8</f>
        <v>50</v>
      </c>
      <c r="E19" s="44"/>
      <c r="F19" s="45" t="n">
        <f aca="false">N(E19)*$B$6</f>
        <v>0</v>
      </c>
      <c r="G19" s="44"/>
      <c r="H19" s="45" t="n">
        <f aca="false">N(G19)*$B$7</f>
        <v>0</v>
      </c>
      <c r="I19" s="45" t="n">
        <f aca="false">F19+H19</f>
        <v>0</v>
      </c>
      <c r="J19" s="8"/>
      <c r="K19" s="2"/>
      <c r="L19" s="2"/>
      <c r="M19" s="2"/>
    </row>
    <row r="20" customFormat="false" ht="15" hidden="false" customHeight="false" outlineLevel="0" collapsed="false">
      <c r="A20" s="7" t="s">
        <v>1510</v>
      </c>
      <c r="B20" s="7" t="s">
        <v>62</v>
      </c>
      <c r="C20" s="7" t="n">
        <v>2</v>
      </c>
      <c r="D20" s="7" t="n">
        <f aca="false">C20*$B$8</f>
        <v>50</v>
      </c>
      <c r="E20" s="44"/>
      <c r="F20" s="45" t="n">
        <f aca="false">N(E20)*$B$6</f>
        <v>0</v>
      </c>
      <c r="G20" s="44"/>
      <c r="H20" s="45" t="n">
        <f aca="false">N(G20)*$B$7</f>
        <v>0</v>
      </c>
      <c r="I20" s="45" t="n">
        <f aca="false">F20+H20</f>
        <v>0</v>
      </c>
      <c r="J20" s="8"/>
      <c r="K20" s="2"/>
      <c r="L20" s="2"/>
      <c r="M20" s="2"/>
    </row>
    <row r="21" customFormat="false" ht="15" hidden="false" customHeight="false" outlineLevel="0" collapsed="false">
      <c r="A21" s="7" t="s">
        <v>1511</v>
      </c>
      <c r="B21" s="7" t="s">
        <v>1135</v>
      </c>
      <c r="C21" s="7" t="n">
        <v>1</v>
      </c>
      <c r="D21" s="7" t="n">
        <f aca="false">C21*$B$8</f>
        <v>25</v>
      </c>
      <c r="E21" s="44"/>
      <c r="F21" s="45" t="n">
        <f aca="false">N(E21)*$B$6</f>
        <v>0</v>
      </c>
      <c r="G21" s="44"/>
      <c r="H21" s="45" t="n">
        <f aca="false">N(G21)*$B$7</f>
        <v>0</v>
      </c>
      <c r="I21" s="45" t="n">
        <f aca="false">F21+H21</f>
        <v>0</v>
      </c>
      <c r="J21" s="8"/>
      <c r="K21" s="2"/>
      <c r="L21" s="2"/>
      <c r="M21" s="2"/>
    </row>
    <row r="22" customFormat="false" ht="15" hidden="false" customHeight="false" outlineLevel="0" collapsed="false">
      <c r="A22" s="7" t="s">
        <v>1512</v>
      </c>
      <c r="B22" s="7" t="s">
        <v>1136</v>
      </c>
      <c r="C22" s="7" t="n">
        <v>2</v>
      </c>
      <c r="D22" s="7" t="n">
        <f aca="false">C22*$B$8</f>
        <v>50</v>
      </c>
      <c r="E22" s="44"/>
      <c r="F22" s="45" t="n">
        <f aca="false">N(E22)*$B$6</f>
        <v>0</v>
      </c>
      <c r="G22" s="44"/>
      <c r="H22" s="45" t="n">
        <f aca="false">N(G22)*$B$7</f>
        <v>0</v>
      </c>
      <c r="I22" s="45" t="n">
        <f aca="false">F22+H22</f>
        <v>0</v>
      </c>
      <c r="J22" s="8"/>
      <c r="K22" s="2"/>
      <c r="L22" s="2"/>
      <c r="M22" s="2"/>
    </row>
    <row r="23" customFormat="false" ht="15" hidden="false" customHeight="false" outlineLevel="0" collapsed="false">
      <c r="A23" s="7" t="s">
        <v>1513</v>
      </c>
      <c r="B23" s="7" t="s">
        <v>1137</v>
      </c>
      <c r="C23" s="7" t="n">
        <v>1</v>
      </c>
      <c r="D23" s="7" t="n">
        <f aca="false">C23*$B$8</f>
        <v>25</v>
      </c>
      <c r="E23" s="44"/>
      <c r="F23" s="45" t="n">
        <f aca="false">N(E23)*$B$6</f>
        <v>0</v>
      </c>
      <c r="G23" s="44"/>
      <c r="H23" s="45" t="n">
        <f aca="false">N(G23)*$B$7</f>
        <v>0</v>
      </c>
      <c r="I23" s="45" t="n">
        <f aca="false">F23+H23</f>
        <v>0</v>
      </c>
      <c r="J23" s="8"/>
      <c r="K23" s="2"/>
      <c r="L23" s="2"/>
      <c r="M23" s="2"/>
    </row>
    <row r="24" customFormat="false" ht="15" hidden="false" customHeight="false" outlineLevel="0" collapsed="false">
      <c r="A24" s="7" t="s">
        <v>1514</v>
      </c>
      <c r="B24" s="7" t="s">
        <v>1515</v>
      </c>
      <c r="C24" s="7" t="n">
        <v>0</v>
      </c>
      <c r="D24" s="7" t="n">
        <f aca="false">C24*$B$8</f>
        <v>0</v>
      </c>
      <c r="E24" s="46" t="n">
        <v>3.5</v>
      </c>
      <c r="F24" s="45" t="n">
        <f aca="false">N(E24)*$B$6</f>
        <v>70</v>
      </c>
      <c r="G24" s="46" t="n">
        <v>18</v>
      </c>
      <c r="H24" s="45" t="n">
        <f aca="false">N(G24)*$B$7</f>
        <v>9</v>
      </c>
      <c r="I24" s="45" t="n">
        <f aca="false">F24+H24</f>
        <v>79</v>
      </c>
      <c r="J24" s="7" t="s">
        <v>1516</v>
      </c>
      <c r="K24" s="2"/>
      <c r="L24" s="2"/>
      <c r="M24" s="2"/>
    </row>
    <row r="25" customFormat="false" ht="15" hidden="false" customHeight="false" outlineLevel="0" collapsed="false">
      <c r="A25" s="47"/>
      <c r="B25" s="48" t="s">
        <v>1517</v>
      </c>
      <c r="C25" s="49" t="n">
        <f aca="false">SUM(C12:C24)</f>
        <v>26</v>
      </c>
      <c r="D25" s="49" t="n">
        <f aca="false">SUM(D12:D24)</f>
        <v>650</v>
      </c>
      <c r="E25" s="49" t="n">
        <f aca="false">SUM(E12:E24)</f>
        <v>5</v>
      </c>
      <c r="F25" s="50" t="n">
        <f aca="false">SUM(F12:F24)</f>
        <v>100</v>
      </c>
      <c r="G25" s="49" t="n">
        <f aca="false">SUM(G12:G24)</f>
        <v>24</v>
      </c>
      <c r="H25" s="50" t="n">
        <f aca="false">SUM(H12:H24)</f>
        <v>12</v>
      </c>
      <c r="I25" s="50" t="n">
        <f aca="false">SUM(I12:I24)</f>
        <v>112</v>
      </c>
      <c r="J25" s="47"/>
      <c r="K25" s="2"/>
      <c r="L25" s="2"/>
      <c r="M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33" t="s">
        <v>1518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5" hidden="false" customHeight="false" outlineLevel="0" collapsed="false">
      <c r="A28" s="7" t="s">
        <v>1519</v>
      </c>
      <c r="B28" s="45" t="n">
        <f aca="false">F25</f>
        <v>100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7" t="s">
        <v>1520</v>
      </c>
      <c r="B29" s="45" t="n">
        <f aca="false">H25</f>
        <v>12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7" t="s">
        <v>1521</v>
      </c>
      <c r="B30" s="45" t="n">
        <f aca="false">I25</f>
        <v>112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7" t="s">
        <v>1522</v>
      </c>
      <c r="B31" s="7" t="n">
        <f aca="false">D25</f>
        <v>650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7" t="s">
        <v>1523</v>
      </c>
      <c r="B32" s="7" t="n">
        <f aca="false">E25</f>
        <v>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7" t="s">
        <v>1524</v>
      </c>
      <c r="B33" s="7" t="n">
        <f aca="false">G25</f>
        <v>24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51" t="s">
        <v>1525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0" t="s">
        <v>1526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1" t="s">
        <v>1527</v>
      </c>
      <c r="B4" s="31" t="s">
        <v>1528</v>
      </c>
      <c r="C4" s="31" t="s">
        <v>1529</v>
      </c>
      <c r="D4" s="31" t="s">
        <v>1530</v>
      </c>
      <c r="E4" s="31" t="s">
        <v>1531</v>
      </c>
      <c r="F4" s="31" t="s">
        <v>1532</v>
      </c>
      <c r="G4" s="31" t="s">
        <v>856</v>
      </c>
      <c r="H4" s="31" t="s">
        <v>248</v>
      </c>
      <c r="I4" s="2"/>
      <c r="J4" s="2"/>
      <c r="K4" s="2"/>
    </row>
    <row r="5" customFormat="false" ht="23.85" hidden="false" customHeight="false" outlineLevel="0" collapsed="false">
      <c r="A5" s="28" t="s">
        <v>1533</v>
      </c>
      <c r="B5" s="52" t="s">
        <v>1534</v>
      </c>
      <c r="C5" s="28" t="s">
        <v>1535</v>
      </c>
      <c r="D5" s="28" t="s">
        <v>200</v>
      </c>
      <c r="E5" s="28" t="s">
        <v>200</v>
      </c>
      <c r="F5" s="28" t="s">
        <v>1536</v>
      </c>
      <c r="G5" s="28" t="s">
        <v>1537</v>
      </c>
      <c r="H5" s="28" t="s">
        <v>1538</v>
      </c>
      <c r="I5" s="2"/>
      <c r="J5" s="2"/>
      <c r="K5" s="2"/>
    </row>
    <row r="6" customFormat="false" ht="23.85" hidden="false" customHeight="false" outlineLevel="0" collapsed="false">
      <c r="A6" s="28" t="s">
        <v>1539</v>
      </c>
      <c r="B6" s="28" t="s">
        <v>1540</v>
      </c>
      <c r="C6" s="28" t="s">
        <v>1541</v>
      </c>
      <c r="D6" s="28" t="s">
        <v>1542</v>
      </c>
      <c r="E6" s="28" t="s">
        <v>1543</v>
      </c>
      <c r="F6" s="28" t="s">
        <v>190</v>
      </c>
      <c r="G6" s="28" t="s">
        <v>1271</v>
      </c>
      <c r="H6" s="28" t="s">
        <v>1544</v>
      </c>
      <c r="I6" s="2"/>
      <c r="J6" s="2"/>
      <c r="K6" s="2"/>
    </row>
    <row r="7" customFormat="false" ht="23.85" hidden="false" customHeight="false" outlineLevel="0" collapsed="false">
      <c r="A7" s="28" t="s">
        <v>1545</v>
      </c>
      <c r="B7" s="28" t="s">
        <v>1546</v>
      </c>
      <c r="C7" s="28" t="s">
        <v>1547</v>
      </c>
      <c r="D7" s="28" t="s">
        <v>1548</v>
      </c>
      <c r="E7" s="28" t="s">
        <v>1549</v>
      </c>
      <c r="F7" s="28" t="s">
        <v>186</v>
      </c>
      <c r="G7" s="28" t="s">
        <v>1214</v>
      </c>
      <c r="H7" s="28" t="s">
        <v>1550</v>
      </c>
      <c r="I7" s="2"/>
      <c r="J7" s="2"/>
      <c r="K7" s="2"/>
    </row>
    <row r="8" customFormat="false" ht="23.85" hidden="false" customHeight="false" outlineLevel="0" collapsed="false">
      <c r="A8" s="28" t="s">
        <v>1551</v>
      </c>
      <c r="B8" s="28" t="s">
        <v>1552</v>
      </c>
      <c r="C8" s="28" t="s">
        <v>1553</v>
      </c>
      <c r="D8" s="28" t="s">
        <v>1554</v>
      </c>
      <c r="E8" s="28" t="s">
        <v>1555</v>
      </c>
      <c r="F8" s="28" t="s">
        <v>200</v>
      </c>
      <c r="G8" s="28" t="s">
        <v>200</v>
      </c>
      <c r="H8" s="28" t="s">
        <v>1556</v>
      </c>
      <c r="I8" s="2"/>
      <c r="J8" s="2"/>
      <c r="K8" s="2"/>
    </row>
    <row r="9" customFormat="false" ht="23.85" hidden="false" customHeight="false" outlineLevel="0" collapsed="false">
      <c r="A9" s="28" t="s">
        <v>1557</v>
      </c>
      <c r="B9" s="28" t="s">
        <v>1558</v>
      </c>
      <c r="C9" s="28" t="s">
        <v>1559</v>
      </c>
      <c r="D9" s="28" t="s">
        <v>1560</v>
      </c>
      <c r="E9" s="28" t="s">
        <v>1561</v>
      </c>
      <c r="F9" s="28" t="s">
        <v>224</v>
      </c>
      <c r="G9" s="28" t="s">
        <v>200</v>
      </c>
      <c r="H9" s="28" t="s">
        <v>1562</v>
      </c>
      <c r="I9" s="2"/>
      <c r="J9" s="2"/>
      <c r="K9" s="2"/>
    </row>
    <row r="10" customFormat="false" ht="15" hidden="false" customHeight="false" outlineLevel="0" collapsed="false">
      <c r="A10" s="28" t="s">
        <v>1563</v>
      </c>
      <c r="B10" s="26" t="s">
        <v>1564</v>
      </c>
      <c r="C10" s="28" t="s">
        <v>1565</v>
      </c>
      <c r="D10" s="28" t="s">
        <v>200</v>
      </c>
      <c r="E10" s="28" t="s">
        <v>200</v>
      </c>
      <c r="F10" s="28" t="s">
        <v>1566</v>
      </c>
      <c r="G10" s="28" t="s">
        <v>1567</v>
      </c>
      <c r="H10" s="28" t="s">
        <v>1568</v>
      </c>
      <c r="I10" s="2"/>
      <c r="J10" s="2"/>
      <c r="K10" s="2"/>
    </row>
    <row r="11" customFormat="false" ht="23.85" hidden="false" customHeight="false" outlineLevel="0" collapsed="false">
      <c r="A11" s="28" t="s">
        <v>1569</v>
      </c>
      <c r="B11" s="28" t="s">
        <v>1570</v>
      </c>
      <c r="C11" s="28" t="s">
        <v>1571</v>
      </c>
      <c r="D11" s="28" t="s">
        <v>1572</v>
      </c>
      <c r="E11" s="28" t="s">
        <v>1573</v>
      </c>
      <c r="F11" s="28" t="s">
        <v>200</v>
      </c>
      <c r="G11" s="28" t="s">
        <v>200</v>
      </c>
      <c r="H11" s="28" t="s">
        <v>1574</v>
      </c>
      <c r="I11" s="2"/>
      <c r="J11" s="2"/>
      <c r="K11" s="2"/>
    </row>
    <row r="12" customFormat="false" ht="15" hidden="false" customHeight="false" outlineLevel="0" collapsed="false">
      <c r="A12" s="28" t="s">
        <v>1575</v>
      </c>
      <c r="B12" s="28" t="s">
        <v>1576</v>
      </c>
      <c r="C12" s="28" t="s">
        <v>1577</v>
      </c>
      <c r="D12" s="28" t="s">
        <v>1578</v>
      </c>
      <c r="E12" s="28" t="s">
        <v>1579</v>
      </c>
      <c r="F12" s="28" t="s">
        <v>228</v>
      </c>
      <c r="G12" s="28" t="s">
        <v>200</v>
      </c>
      <c r="H12" s="28" t="s">
        <v>1580</v>
      </c>
      <c r="I12" s="2"/>
      <c r="J12" s="2"/>
      <c r="K12" s="2"/>
    </row>
    <row r="13" customFormat="false" ht="15" hidden="false" customHeight="false" outlineLevel="0" collapsed="false">
      <c r="A13" s="28" t="s">
        <v>1581</v>
      </c>
      <c r="B13" s="28" t="s">
        <v>1582</v>
      </c>
      <c r="C13" s="28" t="s">
        <v>1583</v>
      </c>
      <c r="D13" s="28" t="s">
        <v>1557</v>
      </c>
      <c r="E13" s="28" t="s">
        <v>1584</v>
      </c>
      <c r="F13" s="28" t="s">
        <v>181</v>
      </c>
      <c r="G13" s="28" t="s">
        <v>1312</v>
      </c>
      <c r="H13" s="28" t="s">
        <v>1585</v>
      </c>
      <c r="I13" s="2"/>
      <c r="J13" s="2"/>
      <c r="K13" s="2"/>
    </row>
    <row r="14" customFormat="false" ht="23.85" hidden="false" customHeight="false" outlineLevel="0" collapsed="false">
      <c r="A14" s="28" t="s">
        <v>1578</v>
      </c>
      <c r="B14" s="28" t="s">
        <v>1586</v>
      </c>
      <c r="C14" s="28" t="s">
        <v>1587</v>
      </c>
      <c r="D14" s="28" t="s">
        <v>1551</v>
      </c>
      <c r="E14" s="28" t="s">
        <v>1588</v>
      </c>
      <c r="F14" s="28" t="s">
        <v>200</v>
      </c>
      <c r="G14" s="28" t="s">
        <v>1271</v>
      </c>
      <c r="H14" s="28" t="s">
        <v>1589</v>
      </c>
      <c r="I14" s="2"/>
      <c r="J14" s="2"/>
      <c r="K14" s="2"/>
    </row>
    <row r="15" customFormat="false" ht="15" hidden="false" customHeight="false" outlineLevel="0" collapsed="false">
      <c r="A15" s="28" t="s">
        <v>1542</v>
      </c>
      <c r="B15" s="28" t="s">
        <v>1590</v>
      </c>
      <c r="C15" s="28" t="s">
        <v>1591</v>
      </c>
      <c r="D15" s="28" t="s">
        <v>1557</v>
      </c>
      <c r="E15" s="28" t="s">
        <v>1592</v>
      </c>
      <c r="F15" s="28" t="s">
        <v>231</v>
      </c>
      <c r="G15" s="28" t="s">
        <v>200</v>
      </c>
      <c r="H15" s="28" t="s">
        <v>1593</v>
      </c>
      <c r="I15" s="2"/>
      <c r="J15" s="2"/>
      <c r="K15" s="2"/>
    </row>
    <row r="16" customFormat="false" ht="23.85" hidden="false" customHeight="false" outlineLevel="0" collapsed="false">
      <c r="A16" s="28" t="s">
        <v>1548</v>
      </c>
      <c r="B16" s="28" t="s">
        <v>1594</v>
      </c>
      <c r="C16" s="28" t="s">
        <v>1595</v>
      </c>
      <c r="D16" s="28" t="s">
        <v>1551</v>
      </c>
      <c r="E16" s="28" t="s">
        <v>1596</v>
      </c>
      <c r="F16" s="28" t="s">
        <v>200</v>
      </c>
      <c r="G16" s="28" t="s">
        <v>200</v>
      </c>
      <c r="H16" s="28" t="s">
        <v>1597</v>
      </c>
      <c r="I16" s="2"/>
      <c r="J16" s="2"/>
      <c r="K16" s="2"/>
    </row>
    <row r="17" customFormat="false" ht="23.85" hidden="false" customHeight="false" outlineLevel="0" collapsed="false">
      <c r="A17" s="28" t="s">
        <v>1572</v>
      </c>
      <c r="B17" s="28" t="s">
        <v>1598</v>
      </c>
      <c r="C17" s="28" t="s">
        <v>1599</v>
      </c>
      <c r="D17" s="28" t="s">
        <v>1551</v>
      </c>
      <c r="E17" s="28" t="s">
        <v>1600</v>
      </c>
      <c r="F17" s="28" t="s">
        <v>235</v>
      </c>
      <c r="G17" s="28" t="s">
        <v>1318</v>
      </c>
      <c r="H17" s="28" t="s">
        <v>1601</v>
      </c>
      <c r="I17" s="2"/>
      <c r="J17" s="2"/>
      <c r="K17" s="2"/>
    </row>
    <row r="18" customFormat="false" ht="23.85" hidden="false" customHeight="false" outlineLevel="0" collapsed="false">
      <c r="A18" s="28" t="s">
        <v>1602</v>
      </c>
      <c r="B18" s="28" t="s">
        <v>1603</v>
      </c>
      <c r="C18" s="28" t="s">
        <v>1604</v>
      </c>
      <c r="D18" s="28" t="s">
        <v>1551</v>
      </c>
      <c r="E18" s="28" t="s">
        <v>1605</v>
      </c>
      <c r="F18" s="28" t="s">
        <v>200</v>
      </c>
      <c r="G18" s="28" t="s">
        <v>200</v>
      </c>
      <c r="H18" s="28" t="s">
        <v>1606</v>
      </c>
      <c r="I18" s="2"/>
      <c r="J18" s="2"/>
      <c r="K18" s="2"/>
    </row>
    <row r="19" customFormat="false" ht="23.85" hidden="false" customHeight="false" outlineLevel="0" collapsed="false">
      <c r="A19" s="28" t="s">
        <v>1607</v>
      </c>
      <c r="B19" s="28" t="s">
        <v>1608</v>
      </c>
      <c r="C19" s="28" t="s">
        <v>1609</v>
      </c>
      <c r="D19" s="28" t="s">
        <v>200</v>
      </c>
      <c r="E19" s="28" t="s">
        <v>200</v>
      </c>
      <c r="F19" s="28" t="s">
        <v>1610</v>
      </c>
      <c r="G19" s="28" t="s">
        <v>1611</v>
      </c>
      <c r="H19" s="28" t="s">
        <v>1612</v>
      </c>
      <c r="I19" s="2"/>
      <c r="J19" s="2"/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51" t="s">
        <v>1613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0" t="s">
        <v>1614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1" t="s">
        <v>51</v>
      </c>
      <c r="B4" s="31" t="s">
        <v>1615</v>
      </c>
      <c r="C4" s="31" t="s">
        <v>1616</v>
      </c>
      <c r="D4" s="31" t="s">
        <v>1617</v>
      </c>
      <c r="E4" s="2"/>
      <c r="F4" s="2"/>
      <c r="G4" s="2"/>
    </row>
    <row r="5" customFormat="false" ht="23.85" hidden="false" customHeight="false" outlineLevel="0" collapsed="false">
      <c r="A5" s="52" t="s">
        <v>1534</v>
      </c>
      <c r="B5" s="28" t="s">
        <v>1618</v>
      </c>
      <c r="C5" s="28" t="s">
        <v>1619</v>
      </c>
      <c r="D5" s="28" t="s">
        <v>1620</v>
      </c>
      <c r="E5" s="2"/>
      <c r="F5" s="2"/>
      <c r="G5" s="2"/>
    </row>
    <row r="6" customFormat="false" ht="23.85" hidden="false" customHeight="false" outlineLevel="0" collapsed="false">
      <c r="A6" s="28" t="s">
        <v>1621</v>
      </c>
      <c r="B6" s="28" t="s">
        <v>1622</v>
      </c>
      <c r="C6" s="28" t="s">
        <v>1623</v>
      </c>
      <c r="D6" s="28" t="s">
        <v>1624</v>
      </c>
      <c r="E6" s="2"/>
      <c r="F6" s="2"/>
      <c r="G6" s="2"/>
    </row>
    <row r="7" customFormat="false" ht="23.85" hidden="false" customHeight="false" outlineLevel="0" collapsed="false">
      <c r="A7" s="28" t="s">
        <v>1625</v>
      </c>
      <c r="B7" s="28" t="s">
        <v>1626</v>
      </c>
      <c r="C7" s="28" t="s">
        <v>1627</v>
      </c>
      <c r="D7" s="28" t="s">
        <v>1628</v>
      </c>
      <c r="E7" s="2"/>
      <c r="F7" s="2"/>
      <c r="G7" s="2"/>
    </row>
    <row r="8" customFormat="false" ht="23.85" hidden="false" customHeight="false" outlineLevel="0" collapsed="false">
      <c r="A8" s="28" t="s">
        <v>1629</v>
      </c>
      <c r="B8" s="28" t="s">
        <v>1630</v>
      </c>
      <c r="C8" s="28" t="s">
        <v>1631</v>
      </c>
      <c r="D8" s="28" t="s">
        <v>1632</v>
      </c>
      <c r="E8" s="2"/>
      <c r="F8" s="2"/>
      <c r="G8" s="2"/>
    </row>
    <row r="9" customFormat="false" ht="15" hidden="false" customHeight="false" outlineLevel="0" collapsed="false">
      <c r="A9" s="28" t="s">
        <v>1633</v>
      </c>
      <c r="B9" s="28" t="s">
        <v>1634</v>
      </c>
      <c r="C9" s="28" t="s">
        <v>1635</v>
      </c>
      <c r="D9" s="28" t="s">
        <v>1636</v>
      </c>
      <c r="E9" s="2"/>
      <c r="F9" s="2"/>
      <c r="G9" s="2"/>
    </row>
    <row r="10" customFormat="false" ht="15" hidden="false" customHeight="false" outlineLevel="0" collapsed="false">
      <c r="A10" s="26" t="s">
        <v>1637</v>
      </c>
      <c r="B10" s="28" t="s">
        <v>1638</v>
      </c>
      <c r="C10" s="28" t="s">
        <v>1639</v>
      </c>
      <c r="D10" s="28" t="s">
        <v>1640</v>
      </c>
      <c r="E10" s="2"/>
      <c r="F10" s="2"/>
      <c r="G10" s="2"/>
    </row>
    <row r="11" customFormat="false" ht="15" hidden="false" customHeight="false" outlineLevel="0" collapsed="false">
      <c r="A11" s="28" t="s">
        <v>1641</v>
      </c>
      <c r="B11" s="28" t="s">
        <v>1642</v>
      </c>
      <c r="C11" s="28" t="s">
        <v>1643</v>
      </c>
      <c r="D11" s="28" t="s">
        <v>1644</v>
      </c>
      <c r="E11" s="2"/>
      <c r="F11" s="2"/>
      <c r="G11" s="2"/>
    </row>
    <row r="12" customFormat="false" ht="15" hidden="false" customHeight="false" outlineLevel="0" collapsed="false">
      <c r="A12" s="28" t="s">
        <v>1645</v>
      </c>
      <c r="B12" s="28" t="s">
        <v>1646</v>
      </c>
      <c r="C12" s="28" t="s">
        <v>1647</v>
      </c>
      <c r="D12" s="28" t="s">
        <v>1648</v>
      </c>
      <c r="E12" s="2"/>
      <c r="F12" s="2"/>
      <c r="G12" s="2"/>
    </row>
    <row r="13" customFormat="false" ht="15" hidden="false" customHeight="false" outlineLevel="0" collapsed="false">
      <c r="A13" s="28" t="s">
        <v>1649</v>
      </c>
      <c r="B13" s="28" t="s">
        <v>1650</v>
      </c>
      <c r="C13" s="28" t="s">
        <v>1651</v>
      </c>
      <c r="D13" s="28" t="s">
        <v>1652</v>
      </c>
      <c r="E13" s="2"/>
      <c r="F13" s="2"/>
      <c r="G13" s="2"/>
    </row>
    <row r="14" customFormat="false" ht="15" hidden="false" customHeight="false" outlineLevel="0" collapsed="false">
      <c r="A14" s="28" t="s">
        <v>1653</v>
      </c>
      <c r="B14" s="28" t="s">
        <v>1654</v>
      </c>
      <c r="C14" s="28" t="s">
        <v>1655</v>
      </c>
      <c r="D14" s="28" t="s">
        <v>1656</v>
      </c>
      <c r="E14" s="2"/>
      <c r="F14" s="2"/>
      <c r="G14" s="2"/>
    </row>
    <row r="15" customFormat="false" ht="15" hidden="false" customHeight="false" outlineLevel="0" collapsed="false">
      <c r="A15" s="28" t="s">
        <v>1657</v>
      </c>
      <c r="B15" s="28" t="s">
        <v>1658</v>
      </c>
      <c r="C15" s="28" t="s">
        <v>1659</v>
      </c>
      <c r="D15" s="28" t="s">
        <v>1660</v>
      </c>
      <c r="E15" s="2"/>
      <c r="F15" s="2"/>
      <c r="G15" s="2"/>
    </row>
    <row r="16" customFormat="false" ht="15" hidden="false" customHeight="false" outlineLevel="0" collapsed="false">
      <c r="A16" s="28" t="s">
        <v>1661</v>
      </c>
      <c r="B16" s="28" t="s">
        <v>1662</v>
      </c>
      <c r="C16" s="28" t="s">
        <v>1663</v>
      </c>
      <c r="D16" s="28" t="s">
        <v>1664</v>
      </c>
      <c r="E16" s="2"/>
      <c r="F16" s="2"/>
      <c r="G16" s="2"/>
    </row>
    <row r="17" customFormat="false" ht="15" hidden="false" customHeight="false" outlineLevel="0" collapsed="false">
      <c r="A17" s="28" t="s">
        <v>1665</v>
      </c>
      <c r="B17" s="28" t="s">
        <v>1666</v>
      </c>
      <c r="C17" s="28" t="s">
        <v>1667</v>
      </c>
      <c r="D17" s="28" t="s">
        <v>1668</v>
      </c>
      <c r="E17" s="2"/>
      <c r="F17" s="2"/>
      <c r="G17" s="2"/>
    </row>
    <row r="18" customFormat="false" ht="15" hidden="false" customHeight="false" outlineLevel="0" collapsed="false">
      <c r="A18" s="28" t="s">
        <v>1669</v>
      </c>
      <c r="B18" s="28" t="s">
        <v>1670</v>
      </c>
      <c r="C18" s="28" t="s">
        <v>1671</v>
      </c>
      <c r="D18" s="28" t="s">
        <v>1672</v>
      </c>
      <c r="E18" s="2"/>
      <c r="F18" s="2"/>
      <c r="G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33" t="s">
        <v>1673</v>
      </c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15" t="s">
        <v>1674</v>
      </c>
      <c r="B21" s="8"/>
      <c r="C21" s="8"/>
      <c r="D21" s="8"/>
      <c r="E21" s="2"/>
      <c r="F21" s="2"/>
      <c r="G21" s="2"/>
    </row>
    <row r="22" customFormat="false" ht="15" hidden="false" customHeight="false" outlineLevel="0" collapsed="false">
      <c r="A22" s="15" t="s">
        <v>1675</v>
      </c>
      <c r="B22" s="8"/>
      <c r="C22" s="8"/>
      <c r="D22" s="8"/>
      <c r="E22" s="2"/>
      <c r="F22" s="2"/>
      <c r="G22" s="2"/>
    </row>
    <row r="23" customFormat="false" ht="15" hidden="false" customHeight="false" outlineLevel="0" collapsed="false">
      <c r="A23" s="15" t="s">
        <v>1676</v>
      </c>
      <c r="B23" s="8"/>
      <c r="C23" s="8"/>
      <c r="D23" s="8"/>
      <c r="E23" s="2"/>
      <c r="F23" s="2"/>
      <c r="G23" s="2"/>
    </row>
    <row r="24" customFormat="false" ht="15" hidden="false" customHeight="false" outlineLevel="0" collapsed="false">
      <c r="A24" s="15" t="s">
        <v>1677</v>
      </c>
      <c r="B24" s="8"/>
      <c r="C24" s="8"/>
      <c r="D24" s="8"/>
      <c r="E24" s="2"/>
      <c r="F24" s="2"/>
      <c r="G24" s="2"/>
    </row>
    <row r="25" customFormat="false" ht="15" hidden="false" customHeight="false" outlineLevel="0" collapsed="false">
      <c r="A25" s="15" t="s">
        <v>1678</v>
      </c>
      <c r="B25" s="8"/>
      <c r="C25" s="8"/>
      <c r="D25" s="8"/>
      <c r="E25" s="2"/>
      <c r="F25" s="2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2026-06-14T04:30:06Z</dcterms:created>
  <dc:creator>openpyxl</dc:creator>
  <dc:description/>
  <dc:language>en-US</dc:language>
  <cp:lastModifiedBy/>
  <dcterms:modified xsi:type="dcterms:W3CDTF">2026-06-14T04:30:08Z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